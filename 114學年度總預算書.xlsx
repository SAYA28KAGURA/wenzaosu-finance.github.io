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4學年度總預算書" sheetId="1" r:id="rId4"/>
    <sheet state="visible" name="114" sheetId="2" r:id="rId5"/>
  </sheets>
  <definedNames/>
  <calcPr/>
  <extLst>
    <ext uri="GoogleSheetsCustomDataVersion2">
      <go:sheetsCustomData xmlns:go="http://customooxmlschemas.google.com/" r:id="rId6" roundtripDataChecksum="WLpSUNzmvb5BL1vHJa4yDhjGsS3b/c2Ixc1Zqa5TLR8="/>
    </ext>
  </extLst>
</workbook>
</file>

<file path=xl/sharedStrings.xml><?xml version="1.0" encoding="utf-8"?>
<sst xmlns="http://schemas.openxmlformats.org/spreadsheetml/2006/main" count="242" uniqueCount="194">
  <si>
    <t>文藻外語大學第二十五屆學生會114學年度總預算書</t>
  </si>
  <si>
    <t>提案金額%</t>
  </si>
  <si>
    <t>實際金額%</t>
  </si>
  <si>
    <t>科目</t>
  </si>
  <si>
    <t>名稱</t>
  </si>
  <si>
    <r>
      <rPr>
        <rFont val="DFKai-SB"/>
        <color theme="1"/>
        <sz val="14.0"/>
      </rPr>
      <t>上屆決算</t>
    </r>
  </si>
  <si>
    <r>
      <rPr>
        <rFont val="DFKai-SB"/>
        <color theme="1"/>
        <sz val="14.0"/>
      </rPr>
      <t>提案金額</t>
    </r>
  </si>
  <si>
    <t>說明
(114-1)</t>
  </si>
  <si>
    <t>說明
(114-2)</t>
  </si>
  <si>
    <t>議會後金額</t>
  </si>
  <si>
    <t>條</t>
  </si>
  <si>
    <t>項</t>
  </si>
  <si>
    <t>款</t>
  </si>
  <si>
    <r>
      <rPr>
        <rFont val="DFKai-SB"/>
        <color theme="1"/>
        <sz val="14.0"/>
      </rPr>
      <t>目</t>
    </r>
  </si>
  <si>
    <t>行政中心50%
400,000元</t>
  </si>
  <si>
    <t>學生會</t>
  </si>
  <si>
    <t>正副會長</t>
  </si>
  <si>
    <t>業務費</t>
  </si>
  <si>
    <t>印刷費</t>
  </si>
  <si>
    <t>用於印製行政中心幹部之名片：233元*16盒=3,728元</t>
  </si>
  <si>
    <t>保險費</t>
  </si>
  <si>
    <t>文宣品費</t>
  </si>
  <si>
    <t>用於慈善義賣園遊會及運動會之場佈及販賣商品製作與採買</t>
  </si>
  <si>
    <t>差旅費</t>
  </si>
  <si>
    <t>交通費</t>
  </si>
  <si>
    <t>用於出訪交流或參與評鑑之交通費用：30,000元</t>
  </si>
  <si>
    <t>住宿費</t>
  </si>
  <si>
    <t>用於出訪交流或參與評鑑之住宿費用：20,000元</t>
  </si>
  <si>
    <t>膳食費</t>
  </si>
  <si>
    <t>用於出訪交流或參與評鑑之餐食費用：15,000元</t>
  </si>
  <si>
    <t>其他支出</t>
  </si>
  <si>
    <t>用於出訪交流或參與評鑑之其他費用</t>
  </si>
  <si>
    <t>第一預備金</t>
  </si>
  <si>
    <t>依據《文藻外語大學學生會預算暨決算法》第十四條所編列之備用款項</t>
  </si>
  <si>
    <t>行政中心</t>
  </si>
  <si>
    <t>公關部</t>
  </si>
  <si>
    <t>用於活動所需之印刷費用
特約商貼紙：6.5元*100張+45元運費=695元
新生導航-新生禮包：三折頁：1,550張=5,000元</t>
  </si>
  <si>
    <t>支付畢業贈禮之相關費用
200元*100份=20,000元</t>
  </si>
  <si>
    <t>資本購置與維護</t>
  </si>
  <si>
    <t>消耗品費</t>
  </si>
  <si>
    <t>支付禮包所需紙袋及貼紙之費用
新生導航-新生禮包：
紙袋：1箱900個*2箱＝4,118元
貼紙：1,600張=3,160元</t>
  </si>
  <si>
    <t>活動部</t>
  </si>
  <si>
    <t>宣傳費</t>
  </si>
  <si>
    <t>支付宣傳活動之相關費用
舞動聖誕：180元*6張＝1,080元</t>
  </si>
  <si>
    <r>
      <rPr>
        <rFont val="DFKai-SB"/>
        <color rgb="FF0000FF"/>
        <sz val="14.0"/>
      </rPr>
      <t>支付宣傳海報之相關費用</t>
    </r>
    <r>
      <rPr>
        <rFont val="DFKai-SB"/>
        <color theme="1"/>
        <sz val="14.0"/>
      </rPr>
      <t xml:space="preserve">
</t>
    </r>
    <r>
      <rPr>
        <rFont val="DFKai-SB"/>
        <color rgb="FF0000FF"/>
        <sz val="14.0"/>
      </rPr>
      <t>文化週市集：180元*3張=540元
跳藻市場：180元*3張=540元</t>
    </r>
    <r>
      <rPr>
        <rFont val="DFKai-SB"/>
        <color theme="1"/>
        <sz val="14.0"/>
      </rPr>
      <t xml:space="preserve">
</t>
    </r>
    <r>
      <rPr>
        <rFont val="DFKai-SB"/>
        <strike/>
        <color theme="1"/>
        <sz val="14.0"/>
      </rPr>
      <t>憶起青春－校園制服週：180元*2張=360元</t>
    </r>
  </si>
  <si>
    <t>公關費</t>
  </si>
  <si>
    <t>支付活動抽獎品之相關費用
萬聖節變裝趴：7-11禮券：400元*5份=2,000元
聖誕傳情市集：漢堡軟糖：140元*2包=280元／乖乖軟糖：289元*1包=289元／
一口燕麥酥：360元*2包=720元／聖誕棉花糖：300元*3包=900元／巧克力：193元*3包=579元／包裝袋：2元*100份=200元</t>
  </si>
  <si>
    <t>支付活動所需之印刷相關費用
舞動聖誕：彩色：8元*12張＝96元／黑白：1元*30張＝30元</t>
  </si>
  <si>
    <r>
      <rPr>
        <rFont val="DFKai-SB"/>
        <color rgb="FF0000FF"/>
        <sz val="14.0"/>
      </rPr>
      <t>支付活動所需之資料影印費用</t>
    </r>
    <r>
      <rPr>
        <rFont val="DFKai-SB"/>
        <color theme="1"/>
        <sz val="14.0"/>
      </rPr>
      <t xml:space="preserve">
</t>
    </r>
    <r>
      <rPr>
        <rFont val="DFKai-SB"/>
        <color rgb="FF0000FF"/>
        <sz val="14.0"/>
      </rPr>
      <t>校園演唱會：9,700元
跳藻市場：8元*30張=240元
文化週市集：黑白影印：8元*20張＝160元／攤商地圖：360元*2張＝720元</t>
    </r>
    <r>
      <rPr>
        <rFont val="DFKai-SB"/>
        <color theme="1"/>
        <sz val="14.0"/>
      </rPr>
      <t xml:space="preserve">
</t>
    </r>
    <r>
      <rPr>
        <rFont val="DFKai-SB"/>
        <strike/>
        <color theme="1"/>
        <sz val="14.0"/>
      </rPr>
      <t>校園演唱會：
工作人員名牌：8元*50張=400元／回饋表單、簽到單等：1元*60張=60元</t>
    </r>
    <r>
      <rPr>
        <rFont val="DFKai-SB"/>
        <color theme="1"/>
        <sz val="14.0"/>
      </rPr>
      <t xml:space="preserve">
</t>
    </r>
    <r>
      <rPr>
        <rFont val="DFKai-SB"/>
        <strike/>
        <color theme="1"/>
        <sz val="14.0"/>
      </rPr>
      <t>跳藻市場：名牌：8元*10張=80元／1元*25張=25元</t>
    </r>
    <r>
      <rPr>
        <rFont val="DFKai-SB"/>
        <color theme="1"/>
        <sz val="14.0"/>
      </rPr>
      <t xml:space="preserve">
</t>
    </r>
    <r>
      <rPr>
        <rFont val="DFKai-SB"/>
        <strike/>
        <color theme="1"/>
        <sz val="14.0"/>
      </rPr>
      <t>憶起青春—校園制服週：1元*200張=200元</t>
    </r>
  </si>
  <si>
    <t>租金費</t>
  </si>
  <si>
    <r>
      <rPr>
        <rFont val="DFKai-SB"/>
        <color rgb="FF0000FF"/>
        <sz val="14.0"/>
      </rPr>
      <t>支付燈光音響之租賃費用</t>
    </r>
    <r>
      <rPr>
        <rFont val="DFKai-SB"/>
        <strike/>
        <color rgb="FFFF0000"/>
        <sz val="14.0"/>
      </rPr>
      <t>（該筆經費由校方補助）</t>
    </r>
    <r>
      <rPr>
        <rFont val="DFKai-SB"/>
        <color rgb="FF0000FF"/>
        <sz val="14.0"/>
      </rPr>
      <t xml:space="preserve">
舞動聖誕：25,000元</t>
    </r>
  </si>
  <si>
    <r>
      <rPr>
        <rFont val="DFKai-SB"/>
        <color rgb="FF0000FF"/>
        <sz val="14.0"/>
      </rPr>
      <t>支付燈光音響之租賃費用</t>
    </r>
    <r>
      <rPr>
        <rFont val="DFKai-SB"/>
        <strike/>
        <color rgb="FFFF0000"/>
        <sz val="14.0"/>
      </rPr>
      <t>（該筆經費由校方補助）</t>
    </r>
    <r>
      <rPr>
        <rFont val="DFKai-SB"/>
        <color theme="1"/>
        <sz val="14.0"/>
      </rPr>
      <t xml:space="preserve">
</t>
    </r>
    <r>
      <rPr>
        <rFont val="DFKai-SB"/>
        <color rgb="FF0000FF"/>
        <sz val="14.0"/>
      </rPr>
      <t xml:space="preserve">校園演唱會：15,000元
</t>
    </r>
    <r>
      <rPr>
        <rFont val="DFKai-SB"/>
        <strike/>
        <color theme="1"/>
        <sz val="14.0"/>
      </rPr>
      <t>校園演唱會：50,000元</t>
    </r>
  </si>
  <si>
    <t>表演費</t>
  </si>
  <si>
    <t>支付活動所邀請演出藝人之相關費用
舞動聖誕：3,000元</t>
  </si>
  <si>
    <r>
      <rPr>
        <rFont val="DFKai-SB"/>
        <color rgb="FF0000FF"/>
        <sz val="14.0"/>
      </rPr>
      <t>用於邀請藝人演出之費用</t>
    </r>
    <r>
      <rPr>
        <rFont val="DFKai-SB"/>
        <strike/>
        <color rgb="FFFF0000"/>
        <sz val="14.0"/>
      </rPr>
      <t>（50,000元由校方補助）</t>
    </r>
    <r>
      <rPr>
        <rFont val="DFKai-SB"/>
        <strike/>
        <color theme="1"/>
        <sz val="14.0"/>
      </rPr>
      <t xml:space="preserve">
</t>
    </r>
    <r>
      <rPr>
        <rFont val="DFKai-SB"/>
        <color rgb="FF0000FF"/>
        <sz val="14.0"/>
      </rPr>
      <t xml:space="preserve">校園演唱會：36,422元
</t>
    </r>
    <r>
      <rPr>
        <rFont val="DFKai-SB"/>
        <strike/>
        <color theme="1"/>
        <sz val="14.0"/>
      </rPr>
      <t>校園演唱會：140,000元</t>
    </r>
  </si>
  <si>
    <t>餐飲費</t>
  </si>
  <si>
    <r>
      <rPr>
        <rFont val="DFKai-SB"/>
        <color rgb="FF0000FF"/>
        <sz val="14.0"/>
      </rPr>
      <t>支付活動參與人員之餐飲相關費用</t>
    </r>
    <r>
      <rPr>
        <rFont val="DFKai-SB"/>
        <strike/>
        <color rgb="FFFF0000"/>
        <sz val="14.0"/>
      </rPr>
      <t>（該筆經費由境外組補助）</t>
    </r>
    <r>
      <rPr>
        <rFont val="DFKai-SB"/>
        <color rgb="FF0000FF"/>
        <sz val="14.0"/>
      </rPr>
      <t xml:space="preserve">
舞動聖誕：120元*200人＝24,000元
</t>
    </r>
    <r>
      <rPr>
        <rFont val="DFKai-SB"/>
        <strike/>
        <color theme="1"/>
        <sz val="14.0"/>
      </rPr>
      <t>萬聖節變裝趴：120元*200人=24,000元</t>
    </r>
  </si>
  <si>
    <r>
      <rPr>
        <rFont val="DFKai-SB"/>
        <color rgb="FF0000FF"/>
        <sz val="14.0"/>
      </rPr>
      <t>支付活動工作人員及藝人之餐飲相關費用</t>
    </r>
    <r>
      <rPr>
        <rFont val="DFKai-SB"/>
        <color theme="1"/>
        <sz val="14.0"/>
      </rPr>
      <t xml:space="preserve">
</t>
    </r>
    <r>
      <rPr>
        <rFont val="DFKai-SB"/>
        <color rgb="FF0000FF"/>
        <sz val="14.0"/>
      </rPr>
      <t xml:space="preserve">校園演唱會：便當：80元*50份＝4,000元／水：300元*3箱＝900元
</t>
    </r>
    <r>
      <rPr>
        <rFont val="DFKai-SB"/>
        <strike/>
        <color theme="1"/>
        <sz val="14.0"/>
      </rPr>
      <t>校園演唱會：便當：80元*50個=4,000元／水：200元*3箱=600元</t>
    </r>
  </si>
  <si>
    <r>
      <rPr>
        <rFont val="DFKai-SB"/>
        <color rgb="FF0000FF"/>
        <sz val="14.0"/>
      </rPr>
      <t>支付文宣品製作費用</t>
    </r>
    <r>
      <rPr>
        <rFont val="DFKai-SB"/>
        <color theme="1"/>
        <sz val="14.0"/>
      </rPr>
      <t xml:space="preserve">
</t>
    </r>
    <r>
      <rPr>
        <rFont val="DFKai-SB"/>
        <color rgb="FF0000FF"/>
        <sz val="14.0"/>
      </rPr>
      <t>文化週市集：束口袋：25元*200個=5,000元</t>
    </r>
    <r>
      <rPr>
        <rFont val="DFKai-SB"/>
        <color theme="1"/>
        <sz val="14.0"/>
      </rPr>
      <t xml:space="preserve">
</t>
    </r>
    <r>
      <rPr>
        <rFont val="DFKai-SB"/>
        <strike/>
        <color theme="1"/>
        <sz val="14.0"/>
      </rPr>
      <t>憶起青春—校園制服週：小卡+貼紙：25元*100份=2,500元</t>
    </r>
  </si>
  <si>
    <t>支付活動場地佈置所需之相關費用
舞動聖誕：500元</t>
  </si>
  <si>
    <r>
      <rPr>
        <rFont val="DFKai-SB"/>
        <color rgb="FF0000FF"/>
        <sz val="14.0"/>
      </rPr>
      <t>支付活動所需之道具費用
文化週市集：500元
跳藻市場：300元</t>
    </r>
    <r>
      <rPr>
        <rFont val="DFKai-SB"/>
        <color theme="1"/>
        <sz val="14.0"/>
      </rPr>
      <t xml:space="preserve">
</t>
    </r>
    <r>
      <rPr>
        <rFont val="DFKai-SB"/>
        <strike/>
        <color theme="1"/>
        <sz val="14.0"/>
      </rPr>
      <t>支付活動所需之美術用品
跳藻市場：壁報紙、馬克筆等：75元</t>
    </r>
    <r>
      <rPr>
        <rFont val="DFKai-SB"/>
        <color theme="1"/>
        <sz val="14.0"/>
      </rPr>
      <t xml:space="preserve">
</t>
    </r>
    <r>
      <rPr>
        <rFont val="DFKai-SB"/>
        <strike/>
        <color theme="1"/>
        <sz val="14.0"/>
      </rPr>
      <t>支付活動所需之道具費用
憶起青春—校園制服週：1,000元</t>
    </r>
  </si>
  <si>
    <r>
      <rPr>
        <rFont val="DFKai-SB"/>
        <strike/>
        <color theme="1"/>
        <sz val="14.0"/>
      </rPr>
      <t>用於活動所需之其他費用</t>
    </r>
    <r>
      <rPr>
        <rFont val="DFKai-SB"/>
        <strike/>
        <color rgb="FFFF0000"/>
        <sz val="14.0"/>
      </rPr>
      <t>（該筆經費由校方補助）</t>
    </r>
    <r>
      <rPr>
        <rFont val="DFKai-SB"/>
        <strike/>
        <color theme="1"/>
        <sz val="14.0"/>
      </rPr>
      <t xml:space="preserve">
聖誕傳情市集：10,000元</t>
    </r>
  </si>
  <si>
    <r>
      <rPr>
        <rFont val="DFKai-SB"/>
        <strike/>
        <color theme="1"/>
        <sz val="14.0"/>
      </rPr>
      <t>用於活動所需之其他費用</t>
    </r>
    <r>
      <rPr>
        <rFont val="DFKai-SB"/>
        <strike/>
        <color rgb="FFFF0000"/>
        <sz val="14.0"/>
      </rPr>
      <t xml:space="preserve">（該筆經費由校方補助）
</t>
    </r>
    <r>
      <rPr>
        <rFont val="DFKai-SB"/>
        <strike/>
        <color theme="1"/>
        <sz val="14.0"/>
      </rPr>
      <t>文化週市集：10,500元</t>
    </r>
    <r>
      <rPr>
        <rFont val="DFKai-SB"/>
        <strike/>
        <color rgb="FFFF0000"/>
        <sz val="14.0"/>
      </rPr>
      <t>（500元由學生會費支出）</t>
    </r>
    <r>
      <rPr>
        <rFont val="DFKai-SB"/>
        <strike/>
        <color theme="1"/>
        <sz val="14.0"/>
      </rPr>
      <t xml:space="preserve">
憶起青春—校園制服週：60,000元</t>
    </r>
  </si>
  <si>
    <t>學權部</t>
  </si>
  <si>
    <t>用於宣傳與學權有關活動之相關費用
校園民主牆：180元*2 張=360元
學權推廣：180元*2 張=360元</t>
  </si>
  <si>
    <t>用於印製議題海報之費用
校園民主牆：600元*1張=600元
學權推廣：1元*100張=100元</t>
  </si>
  <si>
    <t>用於活動所需之美術用品相關費用
校園民主牆：540元
學權推廣：1,000元</t>
  </si>
  <si>
    <t>新聞部</t>
  </si>
  <si>
    <t>設計部</t>
  </si>
  <si>
    <t>人資部</t>
  </si>
  <si>
    <t>郵電費</t>
  </si>
  <si>
    <t>支付文宣品所需之運費
學生會榮譽小物：名牌掛繩：45元</t>
  </si>
  <si>
    <t>用於活動所需之宣傳費用
新生徵選：海報：180元*2張=360元／傳單：1元*7張=7元</t>
  </si>
  <si>
    <t>用於活動所需之宣傳費用
春季徵選：海報：180元*2張=360元／傳單：1元*7張=7元</t>
  </si>
  <si>
    <t>用於活動所需之印刷費用
學生會期初幹部訓練：25元</t>
  </si>
  <si>
    <r>
      <rPr>
        <rFont val="DFKai-SB"/>
        <color theme="1"/>
        <sz val="14.0"/>
      </rPr>
      <t>用於支付活動所需之餐飲費用</t>
    </r>
    <r>
      <rPr>
        <rFont val="DFKai-SB"/>
        <color rgb="FFFF0000"/>
        <sz val="14.0"/>
      </rPr>
      <t xml:space="preserve">（該筆經費由學輔經費支出）
</t>
    </r>
    <r>
      <rPr>
        <rFont val="DFKai-SB"/>
        <color theme="1"/>
        <sz val="14.0"/>
      </rPr>
      <t>學生會期初幹部訓練：80元*60人*2天=9,600元</t>
    </r>
  </si>
  <si>
    <r>
      <rPr>
        <rFont val="DFKai-SB"/>
        <color theme="1"/>
        <sz val="14.0"/>
      </rPr>
      <t>用於支付活動所需之餐飲費用</t>
    </r>
    <r>
      <rPr>
        <rFont val="DFKai-SB"/>
        <color rgb="FFFF0000"/>
        <sz val="14.0"/>
      </rPr>
      <t xml:space="preserve">（該筆經費由學輔經費支出）
</t>
    </r>
    <r>
      <rPr>
        <rFont val="DFKai-SB"/>
        <color theme="1"/>
        <sz val="14.0"/>
      </rPr>
      <t>學生會期初幹部訓練：80元*40人=3,200元</t>
    </r>
  </si>
  <si>
    <t>支付文宣品製作費用
學生會榮譽小物
名牌掛繩：20元*100個=2,000元</t>
  </si>
  <si>
    <r>
      <rPr>
        <rFont val="DFKai-SB"/>
        <color theme="1"/>
        <sz val="14.0"/>
      </rPr>
      <t>支付文宣品製作費用
學生會榮譽小物
徽章：95元*85人=8,075元</t>
    </r>
    <r>
      <rPr>
        <rFont val="DFKai-SB"/>
        <color rgb="FFFF0000"/>
        <sz val="14.0"/>
      </rPr>
      <t>（因廠商給予優惠，故實支金額為7,000元）</t>
    </r>
  </si>
  <si>
    <r>
      <rPr>
        <rFont val="DFKai-SB"/>
        <color theme="1"/>
        <sz val="14.0"/>
      </rPr>
      <t>消耗品費</t>
    </r>
  </si>
  <si>
    <t>購置活動所需之團康道具及美術用品
學生會期初幹部訓練：500元</t>
  </si>
  <si>
    <t>秘書處</t>
  </si>
  <si>
    <t>社資評鑑</t>
  </si>
  <si>
    <t>該筆經費由學生會費支出之最高上限為30,000元</t>
  </si>
  <si>
    <t>行政補助款45%
360,000元</t>
  </si>
  <si>
    <t>社務部</t>
  </si>
  <si>
    <r>
      <rPr>
        <rFont val="DFKai-SB"/>
        <color theme="1"/>
        <sz val="14.0"/>
      </rPr>
      <t>用於宣傳活動所需之相關花費</t>
    </r>
    <r>
      <rPr>
        <rFont val="DFKai-SB"/>
        <color rgb="FFFF0000"/>
        <sz val="14.0"/>
      </rPr>
      <t>（該筆經費由學輔經費支出）</t>
    </r>
    <r>
      <rPr>
        <rFont val="DFKai-SB"/>
        <color theme="1"/>
        <sz val="14.0"/>
      </rPr>
      <t xml:space="preserve">
宣傳海報：140元*8張=1,120元
活動地圖：7,000元*1 組=7,000元</t>
    </r>
  </si>
  <si>
    <r>
      <rPr>
        <rFont val="DFKai-SB"/>
        <color theme="1"/>
        <sz val="14.0"/>
      </rPr>
      <t>支付活動所需之印刷費用</t>
    </r>
    <r>
      <rPr>
        <rFont val="DFKai-SB"/>
        <color rgb="FFFF0000"/>
        <sz val="14.0"/>
      </rPr>
      <t xml:space="preserve">（該筆經費由學輔經費支出）
</t>
    </r>
    <r>
      <rPr>
        <rFont val="DFKai-SB"/>
        <color theme="1"/>
        <sz val="14.0"/>
      </rPr>
      <t>社彩繽紛：600元
社團組織幹訓研習營：21,000元</t>
    </r>
  </si>
  <si>
    <t>支付工作人員名牌及簽到單
文化週市集暨社團表演：1元*200張=200元</t>
  </si>
  <si>
    <r>
      <rPr>
        <rFont val="DFKai-SB"/>
        <color theme="1"/>
        <sz val="14.0"/>
      </rPr>
      <t>用於設置攤位帳篷及呈現專業燈音效果</t>
    </r>
    <r>
      <rPr>
        <rFont val="DFKai-SB"/>
        <color rgb="FFFF0000"/>
        <sz val="14.0"/>
      </rPr>
      <t xml:space="preserve">（該筆經費由學輔經費支出）
</t>
    </r>
    <r>
      <rPr>
        <rFont val="DFKai-SB"/>
        <color theme="1"/>
        <sz val="14.0"/>
      </rPr>
      <t>帳篷租金費：30,000元
專業燈音：23,000元</t>
    </r>
  </si>
  <si>
    <t>支付文化週市集所需之專業音響效果
文化週市集暨社團表演：用於呈現專業音響效果12,000元</t>
  </si>
  <si>
    <t>師資費</t>
  </si>
  <si>
    <r>
      <rPr>
        <rFont val="DFKai-SB"/>
        <color theme="1"/>
        <sz val="14.0"/>
      </rPr>
      <t>支付講師之酬金</t>
    </r>
    <r>
      <rPr>
        <rFont val="DFKai-SB"/>
        <color rgb="FFFF0000"/>
        <sz val="14.0"/>
      </rPr>
      <t xml:space="preserve">（該筆經費由學輔經費支出）
</t>
    </r>
    <r>
      <rPr>
        <rFont val="DFKai-SB"/>
        <color theme="1"/>
        <sz val="14.0"/>
      </rPr>
      <t>鐘點費：2,000元*1人*3小時=6,000元
講師交通費：1,500元*2趟（高鐵）=3,000元</t>
    </r>
  </si>
  <si>
    <t>支付社彩晚會藝人表演費及主持人治裝費</t>
  </si>
  <si>
    <r>
      <rPr>
        <rFont val="DFKai-SB"/>
        <color theme="1"/>
        <sz val="14.0"/>
      </rPr>
      <t>用於提供活動工作人員餐飲之相關費用</t>
    </r>
    <r>
      <rPr>
        <rFont val="DFKai-SB"/>
        <color rgb="FFFF0000"/>
        <sz val="14.0"/>
      </rPr>
      <t>（該筆經費由學輔經費支出）</t>
    </r>
    <r>
      <rPr>
        <rFont val="DFKai-SB"/>
        <color theme="1"/>
        <sz val="14.0"/>
      </rPr>
      <t xml:space="preserve">
社彩繽紛：120元*25人*2天=6,000元
社團組織幹訓研習營：120元*20人=2,400元</t>
    </r>
  </si>
  <si>
    <r>
      <rPr>
        <rFont val="DFKai-SB"/>
        <color theme="1"/>
        <sz val="14.0"/>
      </rPr>
      <t>用於製作活動所需之文宣品</t>
    </r>
    <r>
      <rPr>
        <rFont val="DFKai-SB"/>
        <color rgb="FFFF0000"/>
        <sz val="14.0"/>
      </rPr>
      <t>（30,000元由學輔經費支出）</t>
    </r>
    <r>
      <rPr>
        <rFont val="DFKai-SB"/>
        <color theme="1"/>
        <sz val="14.0"/>
      </rPr>
      <t xml:space="preserve">
資料夾：14.9元*350份=5,215元
扇子：25元*350份=8,750元
杯墊：33元*350個=11,550元
伸縮扣：88元*65份*0.85=4,862元</t>
    </r>
  </si>
  <si>
    <r>
      <rPr>
        <rFont val="DFKai-SB"/>
        <color theme="1"/>
        <sz val="14.0"/>
      </rPr>
      <t>消耗品費</t>
    </r>
  </si>
  <si>
    <r>
      <rPr>
        <rFont val="DFKai-SB"/>
        <color theme="1"/>
        <sz val="14.0"/>
      </rPr>
      <t>支付活動所需之電池、膠帶等耗材費用</t>
    </r>
    <r>
      <rPr>
        <rFont val="DFKai-SB"/>
        <color rgb="FFFF0000"/>
        <sz val="14.0"/>
      </rPr>
      <t xml:space="preserve">（該筆經費由學輔經費支出）
</t>
    </r>
    <r>
      <rPr>
        <rFont val="DFKai-SB"/>
        <color theme="1"/>
        <sz val="14.0"/>
      </rPr>
      <t>社彩繽紛：400元
社團組織幹訓研習營：1,000元</t>
    </r>
  </si>
  <si>
    <t>支付活動所需之電池及膠帶相關費用
文化週市集暨社團表演：400元</t>
  </si>
  <si>
    <t>財務部</t>
  </si>
  <si>
    <t>行政補助款</t>
  </si>
  <si>
    <t>詳細規定請參《文藻外語大學學生會費補助細則》
學生會行政中心：10,000元*2學期=20,000元
學生議會：10,000元*2學期=20,000元
學生評議會：3,000元*2學期=6,000元</t>
  </si>
  <si>
    <t>社團暨系學會補助款</t>
  </si>
  <si>
    <t>詳細規定請參《文藻外語大學學生會費補助細則》
70,000元*2學期=140,000元</t>
  </si>
  <si>
    <t>畢業公展演補助款</t>
  </si>
  <si>
    <t>詳細規定請參《文藻外語大學學生會費補助細則》</t>
  </si>
  <si>
    <t>人事費</t>
  </si>
  <si>
    <t>志工獎勵金</t>
  </si>
  <si>
    <t>暑假：10日*4小時*190元+200元*1個月=7,800元
志工培訓：25小時*190元=4,750元
平日：（71日*4小時+4日*3小時+1日*1小時）*190元+200元*4個月=57,230元
平日（因應時薪調漲政策）：（1日*4小時+4日*3小時*1日*1小時）*200元=3,400元
寒假：6日*4小時*200元+200元*1個月=5,000元
總計：78,180元</t>
  </si>
  <si>
    <t>寒假：4日*4小時*200元=3,200元
志工培訓：25小時*200元=5,000元
平日：（76日*4小時+8日*3小時+2日*1小時）*200元+200元*5個月=67,000元
暑假：10日*4小時*200元+200元*1個月=8,200元
總計：83,400元</t>
  </si>
  <si>
    <t>器材部</t>
  </si>
  <si>
    <t>支付講師之鐘點費用
化雨堂訓：750元*14小時=10,500元</t>
  </si>
  <si>
    <t>支付活動所需之影印費用
器材訓：2元*100張=200元</t>
  </si>
  <si>
    <t>支付活動所需之影印費用
化雨堂訓：30元*1張=30元
器材訓：2元*50張=100元</t>
  </si>
  <si>
    <t>支付活動之餐飲相關費用
化雨堂訓：工作人員80元*9人*2天=1,440元</t>
  </si>
  <si>
    <t>支付活動所需之冷氣卡費用
器材訓：600元*3張=1,800元</t>
  </si>
  <si>
    <r>
      <rPr>
        <rFont val="DFKai-SB"/>
        <color theme="1"/>
        <sz val="14.0"/>
      </rPr>
      <t>修繕維護費</t>
    </r>
  </si>
  <si>
    <t>支付114學年度器材購買及維修之相關費用</t>
  </si>
  <si>
    <t>第二預備金</t>
  </si>
  <si>
    <t>學生議會5%</t>
  </si>
  <si>
    <t>學生議會</t>
  </si>
  <si>
    <t>四合一選舉</t>
  </si>
  <si>
    <t>選舉事務委員會</t>
  </si>
  <si>
    <t>支付抽獎禮品等相關費用
無線鍵盤組：1,500元*2組=3,000元
底片相機：560元*3台=1,680元</t>
  </si>
  <si>
    <t>用於印製選舉公報之相關費用
300元*16張=4,800元</t>
  </si>
  <si>
    <t>用於補助後選人之相關費用
正副會長：600元*1人=600元
學生議會：200元*20人=4,000元
各科系正副會長：600元*17系=10,200元</t>
  </si>
  <si>
    <t>單位</t>
  </si>
  <si>
    <t>總花費</t>
  </si>
  <si>
    <t>項目</t>
  </si>
  <si>
    <t>金額</t>
  </si>
  <si>
    <t>修正金額</t>
  </si>
  <si>
    <t>單位總預算</t>
  </si>
  <si>
    <t>修正後單位總預算</t>
  </si>
  <si>
    <t>行政中心
50%
400,000元</t>
  </si>
  <si>
    <t>名片</t>
  </si>
  <si>
    <t>交流評鑑</t>
  </si>
  <si>
    <t>運動會+園遊會</t>
  </si>
  <si>
    <t>人資</t>
  </si>
  <si>
    <t>1榮譽小物</t>
  </si>
  <si>
    <t>新生徵選</t>
  </si>
  <si>
    <t>1期初幹訓</t>
  </si>
  <si>
    <t>9,600元餐飲費用學輔經費支出</t>
  </si>
  <si>
    <t>1期中幹訓</t>
  </si>
  <si>
    <t>3,200元餐飲費用學輔經費支出</t>
  </si>
  <si>
    <t>春季徵選</t>
  </si>
  <si>
    <t>2期初幹訓</t>
  </si>
  <si>
    <t>2榮譽小物</t>
  </si>
  <si>
    <t>公關</t>
  </si>
  <si>
    <t>特約商貼紙</t>
  </si>
  <si>
    <t>新生禮包</t>
  </si>
  <si>
    <t>畢業贈禮</t>
  </si>
  <si>
    <t>活動</t>
  </si>
  <si>
    <t>名人演講</t>
  </si>
  <si>
    <t>萬聖節變裝party</t>
  </si>
  <si>
    <t>50,000元由校方支出</t>
  </si>
  <si>
    <t>森活生態市集</t>
  </si>
  <si>
    <t>聖誕傳情</t>
  </si>
  <si>
    <t>10,000元由校方支出</t>
  </si>
  <si>
    <t>演唱會</t>
  </si>
  <si>
    <t>100,000元由校方支出</t>
  </si>
  <si>
    <t>文化週市集</t>
  </si>
  <si>
    <t>制服日</t>
  </si>
  <si>
    <t>60,000由校方支出</t>
  </si>
  <si>
    <t>學權</t>
  </si>
  <si>
    <t>校務座談會</t>
  </si>
  <si>
    <t>學權攤位</t>
  </si>
  <si>
    <t>民主牆</t>
  </si>
  <si>
    <t>*</t>
  </si>
  <si>
    <t>設計</t>
  </si>
  <si>
    <t>-</t>
  </si>
  <si>
    <t>新聞</t>
  </si>
  <si>
    <t>社團補助款
45%
360,000元</t>
  </si>
  <si>
    <t>社務</t>
  </si>
  <si>
    <t>社彩繽紛</t>
  </si>
  <si>
    <t>新任社團幹部訓練</t>
  </si>
  <si>
    <t>文化週市集暨社團表演</t>
  </si>
  <si>
    <t>財務</t>
  </si>
  <si>
    <t>1行政補助</t>
  </si>
  <si>
    <t>1社團系學會</t>
  </si>
  <si>
    <t>畢業公演</t>
  </si>
  <si>
    <t>1志工獎勵金</t>
  </si>
  <si>
    <t>暑8,200 訓5,000 平66,200</t>
  </si>
  <si>
    <t>2行政補助</t>
  </si>
  <si>
    <t>2社團系學會</t>
  </si>
  <si>
    <t>2志工獎勵金</t>
  </si>
  <si>
    <t>寒8,200 訓5,000 平67,000 暑8,200</t>
  </si>
  <si>
    <t>器材</t>
  </si>
  <si>
    <t>器材訓</t>
  </si>
  <si>
    <t>器材維修購買</t>
  </si>
  <si>
    <t>化雨堂訓</t>
  </si>
  <si>
    <t>秘書</t>
  </si>
  <si>
    <t>議會
5%</t>
  </si>
  <si>
    <t>評議會</t>
  </si>
  <si>
    <t>總計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</si>
</sst>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[$NT$-404]#,##0.00"/>
    <numFmt numFmtId="166" formatCode="$#,##0_);[Red]$-#,##0"/>
  </numFmts>
  <fonts count="13">
    <font>
      <sz val="10.0"/>
      <color rgb="FF000000"/>
      <name val="Arial"/>
      <scheme val="minor"/>
    </font>
    <font>
      <sz val="24.0"/>
      <color rgb="FF000000"/>
      <name val="DFKai-SB"/>
    </font>
    <font/>
    <font>
      <sz val="12.0"/>
      <color rgb="FF000000"/>
      <name val="DFKai-SB"/>
    </font>
    <font>
      <sz val="14.0"/>
      <color theme="1"/>
      <name val="DFKai-SB"/>
    </font>
    <font>
      <sz val="12.0"/>
      <color theme="1"/>
      <name val="DFKai-SB"/>
    </font>
    <font>
      <sz val="10.0"/>
      <color theme="1"/>
      <name val="DFKai-SB"/>
    </font>
    <font>
      <sz val="12.0"/>
      <color rgb="FF0000FF"/>
      <name val="DFKai-SB"/>
    </font>
    <font>
      <sz val="14.0"/>
      <color rgb="FF0000FF"/>
      <name val="DFKai-SB"/>
    </font>
    <font>
      <strike/>
      <sz val="14.0"/>
      <color theme="1"/>
      <name val="DFKai-SB"/>
    </font>
    <font>
      <sz val="14.0"/>
      <color rgb="FF000000"/>
      <name val="DFKai-SB"/>
    </font>
    <font>
      <sz val="12.0"/>
      <color theme="5"/>
      <name val="DFKai-SB"/>
    </font>
    <font>
      <sz val="12.0"/>
      <color rgb="FFEA4335"/>
      <name val="DFKai-SB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9" fillId="0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4" numFmtId="0" xfId="0" applyAlignment="1" applyBorder="1" applyFont="1">
      <alignment horizontal="center" shrinkToFit="0" vertical="center" wrapText="1"/>
    </xf>
    <xf borderId="9" fillId="2" fontId="5" numFmtId="165" xfId="0" applyAlignment="1" applyBorder="1" applyFont="1" applyNumberFormat="1">
      <alignment horizontal="center" shrinkToFit="0" vertical="center" wrapText="1"/>
    </xf>
    <xf borderId="9" fillId="2" fontId="3" numFmtId="164" xfId="0" applyAlignment="1" applyBorder="1" applyFont="1" applyNumberFormat="1">
      <alignment horizontal="center" vertical="center"/>
    </xf>
    <xf borderId="14" fillId="3" fontId="5" numFmtId="1" xfId="0" applyAlignment="1" applyBorder="1" applyFill="1" applyFont="1" applyNumberFormat="1">
      <alignment horizontal="center" vertical="center"/>
    </xf>
    <xf borderId="14" fillId="3" fontId="4" numFmtId="0" xfId="0" applyAlignment="1" applyBorder="1" applyFont="1">
      <alignment shrinkToFit="0" vertical="center" wrapText="1"/>
    </xf>
    <xf borderId="14" fillId="3" fontId="5" numFmtId="164" xfId="0" applyAlignment="1" applyBorder="1" applyFont="1" applyNumberFormat="1">
      <alignment horizontal="right" shrinkToFit="0" vertical="center" wrapText="1"/>
    </xf>
    <xf borderId="14" fillId="3" fontId="4" numFmtId="164" xfId="0" applyAlignment="1" applyBorder="1" applyFont="1" applyNumberFormat="1">
      <alignment horizontal="left" shrinkToFit="0" vertical="center" wrapText="1"/>
    </xf>
    <xf borderId="14" fillId="3" fontId="6" numFmtId="0" xfId="0" applyAlignment="1" applyBorder="1" applyFont="1">
      <alignment horizontal="center" vertical="center"/>
    </xf>
    <xf borderId="15" fillId="0" fontId="2" numFmtId="0" xfId="0" applyBorder="1" applyFont="1"/>
    <xf borderId="14" fillId="0" fontId="5" numFmtId="1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shrinkToFit="0" vertical="center" wrapText="1"/>
    </xf>
    <xf borderId="14" fillId="0" fontId="3" numFmtId="164" xfId="0" applyAlignment="1" applyBorder="1" applyFont="1" applyNumberFormat="1">
      <alignment horizontal="right"/>
    </xf>
    <xf borderId="14" fillId="0" fontId="5" numFmtId="164" xfId="0" applyAlignment="1" applyBorder="1" applyFont="1" applyNumberFormat="1">
      <alignment horizontal="right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4" fillId="0" fontId="6" numFmtId="0" xfId="0" applyBorder="1" applyFont="1"/>
    <xf borderId="14" fillId="0" fontId="4" numFmtId="0" xfId="0" applyAlignment="1" applyBorder="1" applyFont="1">
      <alignment horizontal="left" shrinkToFit="0" vertical="center" wrapText="1"/>
    </xf>
    <xf borderId="14" fillId="3" fontId="5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shrinkToFit="0" vertical="center" wrapText="1"/>
    </xf>
    <xf borderId="14" fillId="3" fontId="6" numFmtId="0" xfId="0" applyBorder="1" applyFont="1"/>
    <xf borderId="14" fillId="2" fontId="5" numFmtId="0" xfId="0" applyAlignment="1" applyBorder="1" applyFont="1">
      <alignment horizontal="center" vertical="center"/>
    </xf>
    <xf borderId="14" fillId="2" fontId="5" numFmtId="1" xfId="0" applyAlignment="1" applyBorder="1" applyFont="1" applyNumberFormat="1">
      <alignment horizontal="center" vertical="center"/>
    </xf>
    <xf borderId="14" fillId="2" fontId="4" numFmtId="0" xfId="0" applyAlignment="1" applyBorder="1" applyFont="1">
      <alignment shrinkToFit="0" vertical="center" wrapText="1"/>
    </xf>
    <xf borderId="14" fillId="2" fontId="5" numFmtId="164" xfId="0" applyAlignment="1" applyBorder="1" applyFont="1" applyNumberFormat="1">
      <alignment horizontal="right" shrinkToFit="0" vertical="center" wrapText="1"/>
    </xf>
    <xf borderId="14" fillId="2" fontId="4" numFmtId="0" xfId="0" applyAlignment="1" applyBorder="1" applyFont="1">
      <alignment horizontal="left" shrinkToFit="0" vertical="center" wrapText="1"/>
    </xf>
    <xf borderId="14" fillId="2" fontId="6" numFmtId="0" xfId="0" applyBorder="1" applyFont="1"/>
    <xf borderId="14" fillId="0" fontId="5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left" shrinkToFit="0" vertical="center" wrapText="1"/>
    </xf>
    <xf borderId="14" fillId="3" fontId="4" numFmtId="0" xfId="0" applyAlignment="1" applyBorder="1" applyFont="1">
      <alignment horizontal="left" shrinkToFit="0" vertical="center" wrapText="1"/>
    </xf>
    <xf borderId="14" fillId="3" fontId="7" numFmtId="164" xfId="0" applyAlignment="1" applyBorder="1" applyFont="1" applyNumberFormat="1">
      <alignment horizontal="right" readingOrder="0" shrinkToFit="0" vertical="center" wrapText="1"/>
    </xf>
    <xf borderId="14" fillId="3" fontId="8" numFmtId="0" xfId="0" applyAlignment="1" applyBorder="1" applyFont="1">
      <alignment horizontal="left" readingOrder="0" shrinkToFit="0" vertical="center" wrapText="1"/>
    </xf>
    <xf borderId="14" fillId="3" fontId="4" numFmtId="0" xfId="0" applyAlignment="1" applyBorder="1" applyFont="1">
      <alignment horizontal="left" readingOrder="0" shrinkToFit="0" vertical="center" wrapText="1"/>
    </xf>
    <xf borderId="14" fillId="3" fontId="5" numFmtId="164" xfId="0" applyAlignment="1" applyBorder="1" applyFont="1" applyNumberFormat="1">
      <alignment horizontal="right" readingOrder="0" shrinkToFit="0" vertical="center" wrapText="1"/>
    </xf>
    <xf borderId="14" fillId="3" fontId="9" numFmtId="0" xfId="0" applyAlignment="1" applyBorder="1" applyFont="1">
      <alignment horizontal="left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4" fillId="3" fontId="5" numFmtId="164" xfId="0" applyAlignment="1" applyBorder="1" applyFont="1" applyNumberFormat="1">
      <alignment vertical="center"/>
    </xf>
    <xf borderId="14" fillId="3" fontId="4" numFmtId="0" xfId="0" applyAlignment="1" applyBorder="1" applyFont="1">
      <alignment horizontal="center" shrinkToFit="0" vertical="center" wrapText="1"/>
    </xf>
    <xf borderId="14" fillId="0" fontId="5" numFmtId="164" xfId="0" applyAlignment="1" applyBorder="1" applyFont="1" applyNumberFormat="1">
      <alignment vertical="center"/>
    </xf>
    <xf borderId="14" fillId="2" fontId="5" numFmtId="164" xfId="0" applyAlignment="1" applyBorder="1" applyFont="1" applyNumberFormat="1">
      <alignment horizontal="center" vertical="center"/>
    </xf>
    <xf borderId="14" fillId="3" fontId="6" numFmtId="164" xfId="0" applyAlignment="1" applyBorder="1" applyFont="1" applyNumberFormat="1">
      <alignment vertical="center"/>
    </xf>
    <xf borderId="10" fillId="3" fontId="6" numFmtId="0" xfId="0" applyAlignment="1" applyBorder="1" applyFont="1">
      <alignment horizontal="left" shrinkToFit="0" vertical="center" wrapText="1"/>
    </xf>
    <xf borderId="14" fillId="3" fontId="6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center"/>
    </xf>
    <xf borderId="9" fillId="2" fontId="5" numFmtId="164" xfId="0" applyAlignment="1" applyBorder="1" applyFont="1" applyNumberFormat="1">
      <alignment horizontal="center" vertical="center"/>
    </xf>
    <xf borderId="14" fillId="2" fontId="6" numFmtId="164" xfId="0" applyAlignment="1" applyBorder="1" applyFont="1" applyNumberFormat="1">
      <alignment horizontal="left" vertical="center"/>
    </xf>
    <xf borderId="10" fillId="2" fontId="6" numFmtId="0" xfId="0" applyAlignment="1" applyBorder="1" applyFont="1">
      <alignment horizontal="left" vertical="center"/>
    </xf>
    <xf borderId="14" fillId="2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center" vertical="center"/>
    </xf>
    <xf borderId="14" fillId="0" fontId="6" numFmtId="164" xfId="0" applyAlignment="1" applyBorder="1" applyFont="1" applyNumberFormat="1">
      <alignment horizontal="left" vertical="center"/>
    </xf>
    <xf borderId="10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/>
    </xf>
    <xf borderId="14" fillId="3" fontId="3" numFmtId="0" xfId="0" applyAlignment="1" applyBorder="1" applyFont="1">
      <alignment horizontal="center"/>
    </xf>
    <xf borderId="0" fillId="0" fontId="5" numFmtId="0" xfId="0" applyFont="1"/>
    <xf borderId="9" fillId="0" fontId="5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14" fillId="0" fontId="3" numFmtId="0" xfId="0" applyBorder="1" applyFont="1"/>
    <xf borderId="14" fillId="0" fontId="5" numFmtId="164" xfId="0" applyBorder="1" applyFont="1" applyNumberFormat="1"/>
    <xf borderId="0" fillId="0" fontId="5" numFmtId="3" xfId="0" applyFont="1" applyNumberFormat="1"/>
    <xf borderId="14" fillId="0" fontId="11" numFmtId="164" xfId="0" applyBorder="1" applyFont="1" applyNumberFormat="1"/>
    <xf borderId="14" fillId="0" fontId="3" numFmtId="164" xfId="0" applyBorder="1" applyFont="1" applyNumberFormat="1"/>
    <xf borderId="14" fillId="0" fontId="3" numFmtId="0" xfId="0" applyAlignment="1" applyBorder="1" applyFont="1">
      <alignment horizontal="center" vertical="center"/>
    </xf>
    <xf borderId="14" fillId="4" fontId="3" numFmtId="0" xfId="0" applyBorder="1" applyFill="1" applyFont="1"/>
    <xf borderId="14" fillId="0" fontId="3" numFmtId="0" xfId="0" applyAlignment="1" applyBorder="1" applyFont="1">
      <alignment horizontal="left"/>
    </xf>
    <xf borderId="14" fillId="0" fontId="5" numFmtId="0" xfId="0" applyBorder="1" applyFont="1"/>
    <xf borderId="14" fillId="0" fontId="12" numFmtId="164" xfId="0" applyBorder="1" applyFont="1" applyNumberFormat="1"/>
    <xf borderId="0" fillId="0" fontId="5" numFmtId="166" xfId="0" applyFont="1" applyNumberFormat="1"/>
    <xf borderId="14" fillId="5" fontId="3" numFmtId="0" xfId="0" applyAlignment="1" applyBorder="1" applyFill="1" applyFont="1">
      <alignment horizontal="center" vertical="center"/>
    </xf>
    <xf borderId="9" fillId="0" fontId="3" numFmtId="164" xfId="0" applyAlignment="1" applyBorder="1" applyFont="1" applyNumberFormat="1">
      <alignment vertical="center"/>
    </xf>
    <xf borderId="14" fillId="2" fontId="5" numFmtId="164" xfId="0" applyBorder="1" applyFont="1" applyNumberFormat="1"/>
    <xf borderId="14" fillId="6" fontId="5" numFmtId="164" xfId="0" applyBorder="1" applyFill="1" applyFont="1" applyNumberFormat="1"/>
    <xf borderId="14" fillId="2" fontId="12" numFmtId="164" xfId="0" applyBorder="1" applyFont="1" applyNumberFormat="1"/>
    <xf borderId="0" fillId="2" fontId="11" numFmtId="164" xfId="0" applyFont="1" applyNumberFormat="1"/>
    <xf borderId="0" fillId="0" fontId="3" numFmtId="164" xfId="0" applyFont="1" applyNumberFormat="1"/>
    <xf borderId="14" fillId="0" fontId="3" numFmtId="0" xfId="0" applyAlignment="1" applyBorder="1" applyFont="1">
      <alignment vertical="center"/>
    </xf>
    <xf borderId="14" fillId="4" fontId="3" numFmtId="0" xfId="0" applyAlignment="1" applyBorder="1" applyFont="1">
      <alignment vertical="center"/>
    </xf>
    <xf borderId="14" fillId="0" fontId="11" numFmtId="164" xfId="0" applyAlignment="1" applyBorder="1" applyFont="1" applyNumberFormat="1">
      <alignment vertical="center"/>
    </xf>
    <xf borderId="14" fillId="0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 vertical="center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3.25"/>
    <col customWidth="1" min="3" max="6" width="9.75"/>
    <col customWidth="1" min="7" max="7" width="23.75"/>
    <col customWidth="1" min="8" max="9" width="10.38"/>
    <col customWidth="1" min="10" max="10" width="99.38"/>
    <col customWidth="1" min="11" max="11" width="79.13"/>
    <col customWidth="1" min="12" max="12" width="12.5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4.25" customHeight="1">
      <c r="A2" s="4"/>
      <c r="L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21.75" customHeight="1">
      <c r="A4" s="9" t="s">
        <v>1</v>
      </c>
      <c r="B4" s="9" t="s">
        <v>2</v>
      </c>
      <c r="C4" s="10" t="s">
        <v>3</v>
      </c>
      <c r="D4" s="11"/>
      <c r="E4" s="11"/>
      <c r="F4" s="12"/>
      <c r="G4" s="13" t="s">
        <v>4</v>
      </c>
      <c r="H4" s="14" t="s">
        <v>5</v>
      </c>
      <c r="I4" s="14" t="s">
        <v>6</v>
      </c>
      <c r="J4" s="15" t="s">
        <v>7</v>
      </c>
      <c r="K4" s="15" t="s">
        <v>8</v>
      </c>
      <c r="L4" s="16" t="s">
        <v>9</v>
      </c>
    </row>
    <row r="5">
      <c r="A5" s="17"/>
      <c r="B5" s="17"/>
      <c r="C5" s="18" t="s">
        <v>10</v>
      </c>
      <c r="D5" s="18" t="s">
        <v>11</v>
      </c>
      <c r="E5" s="18" t="s">
        <v>12</v>
      </c>
      <c r="F5" s="18" t="s">
        <v>13</v>
      </c>
      <c r="G5" s="17"/>
      <c r="H5" s="17"/>
      <c r="I5" s="17"/>
      <c r="J5" s="4"/>
      <c r="K5" s="4"/>
      <c r="L5" s="17"/>
    </row>
    <row r="6">
      <c r="A6" s="19" t="s">
        <v>14</v>
      </c>
      <c r="B6" s="20">
        <f>SUM(I7+I17+I19+I25+I37+I45+I54+I81)</f>
        <v>307693</v>
      </c>
      <c r="C6" s="21">
        <v>0.0</v>
      </c>
      <c r="D6" s="21">
        <v>0.0</v>
      </c>
      <c r="E6" s="21">
        <v>0.0</v>
      </c>
      <c r="F6" s="21">
        <v>0.0</v>
      </c>
      <c r="G6" s="22" t="s">
        <v>15</v>
      </c>
      <c r="H6" s="23">
        <v>930611.0</v>
      </c>
      <c r="I6" s="23">
        <f>I7+I17+I18+I81+I82+I83</f>
        <v>800000</v>
      </c>
      <c r="J6" s="24"/>
      <c r="K6" s="24"/>
      <c r="L6" s="25"/>
    </row>
    <row r="7">
      <c r="A7" s="26"/>
      <c r="B7" s="26"/>
      <c r="C7" s="27">
        <v>1.0</v>
      </c>
      <c r="D7" s="27">
        <v>0.0</v>
      </c>
      <c r="E7" s="27">
        <v>0.0</v>
      </c>
      <c r="F7" s="27">
        <v>0.0</v>
      </c>
      <c r="G7" s="28" t="s">
        <v>16</v>
      </c>
      <c r="H7" s="29"/>
      <c r="I7" s="30">
        <f>SUM(I8+I12+I16)</f>
        <v>93728</v>
      </c>
      <c r="J7" s="31"/>
      <c r="K7" s="12"/>
      <c r="L7" s="32"/>
    </row>
    <row r="8">
      <c r="A8" s="26"/>
      <c r="B8" s="26"/>
      <c r="C8" s="27"/>
      <c r="D8" s="27">
        <v>2.0</v>
      </c>
      <c r="E8" s="27">
        <v>0.0</v>
      </c>
      <c r="F8" s="27">
        <v>0.0</v>
      </c>
      <c r="G8" s="28" t="s">
        <v>17</v>
      </c>
      <c r="H8" s="29"/>
      <c r="I8" s="30">
        <f>SUM(I9:I11)</f>
        <v>18728</v>
      </c>
      <c r="J8" s="33"/>
      <c r="K8" s="33"/>
      <c r="L8" s="32"/>
    </row>
    <row r="9">
      <c r="A9" s="26"/>
      <c r="B9" s="26"/>
      <c r="C9" s="27"/>
      <c r="D9" s="27"/>
      <c r="E9" s="27">
        <v>7.0</v>
      </c>
      <c r="F9" s="27">
        <v>0.0</v>
      </c>
      <c r="G9" s="28" t="s">
        <v>18</v>
      </c>
      <c r="H9" s="29"/>
      <c r="I9" s="30">
        <v>3728.0</v>
      </c>
      <c r="J9" s="10" t="s">
        <v>19</v>
      </c>
      <c r="K9" s="12"/>
      <c r="L9" s="32"/>
    </row>
    <row r="10">
      <c r="A10" s="26"/>
      <c r="B10" s="26"/>
      <c r="C10" s="27"/>
      <c r="D10" s="27"/>
      <c r="E10" s="27">
        <v>9.0</v>
      </c>
      <c r="F10" s="27">
        <v>0.0</v>
      </c>
      <c r="G10" s="28" t="s">
        <v>20</v>
      </c>
      <c r="H10" s="29"/>
      <c r="I10" s="30">
        <v>5000.0</v>
      </c>
      <c r="J10" s="33"/>
      <c r="K10" s="33"/>
      <c r="L10" s="32"/>
    </row>
    <row r="11">
      <c r="A11" s="26"/>
      <c r="B11" s="26"/>
      <c r="C11" s="27"/>
      <c r="D11" s="27"/>
      <c r="E11" s="27">
        <v>19.0</v>
      </c>
      <c r="F11" s="27">
        <v>0.0</v>
      </c>
      <c r="G11" s="28" t="s">
        <v>21</v>
      </c>
      <c r="H11" s="29"/>
      <c r="I11" s="30">
        <v>10000.0</v>
      </c>
      <c r="J11" s="18" t="s">
        <v>22</v>
      </c>
      <c r="K11" s="33"/>
      <c r="L11" s="32"/>
    </row>
    <row r="12">
      <c r="A12" s="26"/>
      <c r="B12" s="26"/>
      <c r="C12" s="27"/>
      <c r="D12" s="27">
        <v>4.0</v>
      </c>
      <c r="E12" s="27">
        <v>0.0</v>
      </c>
      <c r="F12" s="27">
        <v>0.0</v>
      </c>
      <c r="G12" s="28" t="s">
        <v>23</v>
      </c>
      <c r="H12" s="29"/>
      <c r="I12" s="30">
        <f>SUM(I13:I15)</f>
        <v>65000</v>
      </c>
      <c r="J12" s="33"/>
      <c r="K12" s="33"/>
      <c r="L12" s="32"/>
    </row>
    <row r="13">
      <c r="A13" s="26"/>
      <c r="B13" s="26"/>
      <c r="C13" s="27"/>
      <c r="D13" s="27"/>
      <c r="E13" s="27">
        <v>1.0</v>
      </c>
      <c r="F13" s="27">
        <v>0.0</v>
      </c>
      <c r="G13" s="28" t="s">
        <v>24</v>
      </c>
      <c r="H13" s="29"/>
      <c r="I13" s="30">
        <v>30000.0</v>
      </c>
      <c r="J13" s="10" t="s">
        <v>25</v>
      </c>
      <c r="K13" s="12"/>
      <c r="L13" s="32"/>
    </row>
    <row r="14">
      <c r="A14" s="26"/>
      <c r="B14" s="26"/>
      <c r="C14" s="27"/>
      <c r="D14" s="27"/>
      <c r="E14" s="27">
        <v>2.0</v>
      </c>
      <c r="F14" s="27">
        <v>0.0</v>
      </c>
      <c r="G14" s="28" t="s">
        <v>26</v>
      </c>
      <c r="H14" s="29"/>
      <c r="I14" s="30">
        <v>20000.0</v>
      </c>
      <c r="J14" s="10" t="s">
        <v>27</v>
      </c>
      <c r="K14" s="12"/>
      <c r="L14" s="32"/>
    </row>
    <row r="15">
      <c r="A15" s="26"/>
      <c r="B15" s="26"/>
      <c r="C15" s="27"/>
      <c r="D15" s="27"/>
      <c r="E15" s="27">
        <v>3.0</v>
      </c>
      <c r="F15" s="27">
        <v>0.0</v>
      </c>
      <c r="G15" s="28" t="s">
        <v>28</v>
      </c>
      <c r="H15" s="29"/>
      <c r="I15" s="30">
        <v>15000.0</v>
      </c>
      <c r="J15" s="10" t="s">
        <v>29</v>
      </c>
      <c r="K15" s="12"/>
      <c r="L15" s="32"/>
    </row>
    <row r="16">
      <c r="A16" s="26"/>
      <c r="B16" s="26"/>
      <c r="C16" s="27"/>
      <c r="D16" s="27">
        <v>12.0</v>
      </c>
      <c r="E16" s="27">
        <v>0.0</v>
      </c>
      <c r="F16" s="27">
        <v>0.0</v>
      </c>
      <c r="G16" s="28" t="s">
        <v>30</v>
      </c>
      <c r="H16" s="29"/>
      <c r="I16" s="30">
        <v>10000.0</v>
      </c>
      <c r="J16" s="10" t="s">
        <v>31</v>
      </c>
      <c r="K16" s="12"/>
      <c r="L16" s="32"/>
    </row>
    <row r="17">
      <c r="A17" s="26"/>
      <c r="B17" s="26"/>
      <c r="C17" s="34">
        <v>2.0</v>
      </c>
      <c r="D17" s="21">
        <v>0.0</v>
      </c>
      <c r="E17" s="21">
        <v>0.0</v>
      </c>
      <c r="F17" s="21">
        <v>0.0</v>
      </c>
      <c r="G17" s="22" t="s">
        <v>32</v>
      </c>
      <c r="H17" s="23"/>
      <c r="I17" s="23">
        <v>5000.0</v>
      </c>
      <c r="J17" s="35" t="s">
        <v>33</v>
      </c>
      <c r="K17" s="12"/>
      <c r="L17" s="36"/>
    </row>
    <row r="18">
      <c r="A18" s="26"/>
      <c r="B18" s="26"/>
      <c r="C18" s="37">
        <v>3.0</v>
      </c>
      <c r="D18" s="38">
        <v>0.0</v>
      </c>
      <c r="E18" s="38">
        <v>0.0</v>
      </c>
      <c r="F18" s="38">
        <v>0.0</v>
      </c>
      <c r="G18" s="39" t="s">
        <v>34</v>
      </c>
      <c r="H18" s="40"/>
      <c r="I18" s="40">
        <f>I19+I25+I37+I43+I44+I45+I54+I56+I67+I73</f>
        <v>631992</v>
      </c>
      <c r="J18" s="41"/>
      <c r="K18" s="41"/>
      <c r="L18" s="42"/>
    </row>
    <row r="19">
      <c r="A19" s="26"/>
      <c r="B19" s="26"/>
      <c r="C19" s="43"/>
      <c r="D19" s="27">
        <v>1.0</v>
      </c>
      <c r="E19" s="27">
        <v>0.0</v>
      </c>
      <c r="F19" s="27">
        <v>0.0</v>
      </c>
      <c r="G19" s="28" t="s">
        <v>35</v>
      </c>
      <c r="H19" s="30"/>
      <c r="I19" s="30">
        <f>I20+I23</f>
        <v>32973</v>
      </c>
      <c r="J19" s="31"/>
      <c r="K19" s="12"/>
      <c r="L19" s="32"/>
    </row>
    <row r="20">
      <c r="A20" s="26"/>
      <c r="B20" s="26"/>
      <c r="C20" s="43"/>
      <c r="D20" s="27"/>
      <c r="E20" s="27">
        <v>2.0</v>
      </c>
      <c r="F20" s="27">
        <v>0.0</v>
      </c>
      <c r="G20" s="28" t="s">
        <v>17</v>
      </c>
      <c r="H20" s="30"/>
      <c r="I20" s="30">
        <f>SUM(I21:I22)</f>
        <v>25695</v>
      </c>
      <c r="J20" s="33"/>
      <c r="K20" s="33"/>
      <c r="L20" s="32"/>
    </row>
    <row r="21">
      <c r="A21" s="26"/>
      <c r="B21" s="26"/>
      <c r="C21" s="43"/>
      <c r="D21" s="27"/>
      <c r="E21" s="27"/>
      <c r="F21" s="27">
        <v>7.0</v>
      </c>
      <c r="G21" s="28" t="s">
        <v>18</v>
      </c>
      <c r="H21" s="30"/>
      <c r="I21" s="30">
        <v>5695.0</v>
      </c>
      <c r="J21" s="33" t="s">
        <v>36</v>
      </c>
      <c r="K21" s="33"/>
      <c r="L21" s="32"/>
    </row>
    <row r="22">
      <c r="A22" s="26"/>
      <c r="B22" s="26"/>
      <c r="C22" s="43"/>
      <c r="D22" s="27"/>
      <c r="E22" s="27"/>
      <c r="F22" s="27">
        <v>19.0</v>
      </c>
      <c r="G22" s="28" t="s">
        <v>21</v>
      </c>
      <c r="H22" s="30"/>
      <c r="I22" s="30">
        <v>20000.0</v>
      </c>
      <c r="J22" s="33"/>
      <c r="K22" s="33" t="s">
        <v>37</v>
      </c>
      <c r="L22" s="32"/>
    </row>
    <row r="23">
      <c r="A23" s="26"/>
      <c r="B23" s="26"/>
      <c r="C23" s="43"/>
      <c r="D23" s="27"/>
      <c r="E23" s="27">
        <v>3.0</v>
      </c>
      <c r="F23" s="27">
        <v>0.0</v>
      </c>
      <c r="G23" s="28" t="s">
        <v>38</v>
      </c>
      <c r="H23" s="30"/>
      <c r="I23" s="30">
        <f>I24</f>
        <v>7278</v>
      </c>
      <c r="J23" s="33"/>
      <c r="K23" s="33"/>
      <c r="L23" s="32"/>
    </row>
    <row r="24">
      <c r="A24" s="26"/>
      <c r="B24" s="26"/>
      <c r="C24" s="37"/>
      <c r="D24" s="38"/>
      <c r="E24" s="38"/>
      <c r="F24" s="38">
        <v>1.0</v>
      </c>
      <c r="G24" s="39" t="s">
        <v>39</v>
      </c>
      <c r="H24" s="40"/>
      <c r="I24" s="40">
        <v>7278.0</v>
      </c>
      <c r="J24" s="41" t="s">
        <v>40</v>
      </c>
      <c r="K24" s="41"/>
      <c r="L24" s="42"/>
    </row>
    <row r="25">
      <c r="A25" s="26"/>
      <c r="B25" s="26"/>
      <c r="C25" s="34"/>
      <c r="D25" s="21">
        <v>2.0</v>
      </c>
      <c r="E25" s="21">
        <v>0.0</v>
      </c>
      <c r="F25" s="21">
        <v>0.0</v>
      </c>
      <c r="G25" s="22" t="s">
        <v>41</v>
      </c>
      <c r="H25" s="23"/>
      <c r="I25" s="23">
        <f>I26+I34</f>
        <v>127728</v>
      </c>
      <c r="J25" s="44"/>
      <c r="K25" s="12"/>
      <c r="L25" s="36"/>
    </row>
    <row r="26">
      <c r="A26" s="26"/>
      <c r="B26" s="26"/>
      <c r="C26" s="34"/>
      <c r="D26" s="21"/>
      <c r="E26" s="21">
        <v>2.0</v>
      </c>
      <c r="F26" s="21">
        <v>0.0</v>
      </c>
      <c r="G26" s="22" t="s">
        <v>17</v>
      </c>
      <c r="H26" s="23"/>
      <c r="I26" s="23">
        <f>SUM(I27:I33)</f>
        <v>126428</v>
      </c>
      <c r="J26" s="45"/>
      <c r="K26" s="45"/>
      <c r="L26" s="36"/>
    </row>
    <row r="27" ht="72.0" customHeight="1">
      <c r="A27" s="26"/>
      <c r="B27" s="26"/>
      <c r="C27" s="34"/>
      <c r="D27" s="21"/>
      <c r="E27" s="21"/>
      <c r="F27" s="21">
        <v>5.0</v>
      </c>
      <c r="G27" s="22" t="s">
        <v>42</v>
      </c>
      <c r="H27" s="23"/>
      <c r="I27" s="46">
        <v>2160.0</v>
      </c>
      <c r="J27" s="47" t="s">
        <v>43</v>
      </c>
      <c r="K27" s="48" t="s">
        <v>44</v>
      </c>
      <c r="L27" s="36"/>
    </row>
    <row r="28">
      <c r="A28" s="26"/>
      <c r="B28" s="26"/>
      <c r="C28" s="34"/>
      <c r="D28" s="21"/>
      <c r="E28" s="21"/>
      <c r="F28" s="21">
        <v>6.0</v>
      </c>
      <c r="G28" s="22" t="s">
        <v>45</v>
      </c>
      <c r="H28" s="23"/>
      <c r="I28" s="49">
        <v>0.0</v>
      </c>
      <c r="J28" s="50" t="s">
        <v>46</v>
      </c>
      <c r="K28" s="45"/>
      <c r="L28" s="36"/>
    </row>
    <row r="29">
      <c r="A29" s="26"/>
      <c r="B29" s="26"/>
      <c r="C29" s="34"/>
      <c r="D29" s="21"/>
      <c r="E29" s="21"/>
      <c r="F29" s="21">
        <v>7.0</v>
      </c>
      <c r="G29" s="22" t="s">
        <v>18</v>
      </c>
      <c r="H29" s="23"/>
      <c r="I29" s="46">
        <v>10946.0</v>
      </c>
      <c r="J29" s="47" t="s">
        <v>47</v>
      </c>
      <c r="K29" s="48" t="s">
        <v>48</v>
      </c>
      <c r="L29" s="36"/>
    </row>
    <row r="30" ht="54.0" customHeight="1">
      <c r="A30" s="26"/>
      <c r="B30" s="26"/>
      <c r="C30" s="34"/>
      <c r="D30" s="21"/>
      <c r="E30" s="21"/>
      <c r="F30" s="21">
        <v>8.0</v>
      </c>
      <c r="G30" s="22" t="s">
        <v>49</v>
      </c>
      <c r="H30" s="23"/>
      <c r="I30" s="46">
        <v>40000.0</v>
      </c>
      <c r="J30" s="48" t="s">
        <v>50</v>
      </c>
      <c r="K30" s="48" t="s">
        <v>51</v>
      </c>
      <c r="L30" s="36"/>
    </row>
    <row r="31" ht="54.0" customHeight="1">
      <c r="A31" s="26"/>
      <c r="B31" s="26"/>
      <c r="C31" s="34"/>
      <c r="D31" s="21"/>
      <c r="E31" s="21"/>
      <c r="F31" s="21">
        <v>11.0</v>
      </c>
      <c r="G31" s="22" t="s">
        <v>52</v>
      </c>
      <c r="H31" s="23"/>
      <c r="I31" s="46">
        <v>39422.0</v>
      </c>
      <c r="J31" s="47" t="s">
        <v>53</v>
      </c>
      <c r="K31" s="48" t="s">
        <v>54</v>
      </c>
      <c r="L31" s="36"/>
    </row>
    <row r="32" ht="72.0" customHeight="1">
      <c r="A32" s="26"/>
      <c r="B32" s="26"/>
      <c r="C32" s="34"/>
      <c r="D32" s="21"/>
      <c r="E32" s="21"/>
      <c r="F32" s="21">
        <v>13.0</v>
      </c>
      <c r="G32" s="22" t="s">
        <v>55</v>
      </c>
      <c r="H32" s="23"/>
      <c r="I32" s="46">
        <v>28900.0</v>
      </c>
      <c r="J32" s="48" t="s">
        <v>56</v>
      </c>
      <c r="K32" s="48" t="s">
        <v>57</v>
      </c>
      <c r="L32" s="36"/>
    </row>
    <row r="33">
      <c r="A33" s="26"/>
      <c r="B33" s="26"/>
      <c r="C33" s="34"/>
      <c r="D33" s="21"/>
      <c r="E33" s="21"/>
      <c r="F33" s="21">
        <v>19.0</v>
      </c>
      <c r="G33" s="22" t="s">
        <v>21</v>
      </c>
      <c r="H33" s="23"/>
      <c r="I33" s="46">
        <v>5000.0</v>
      </c>
      <c r="J33" s="45"/>
      <c r="K33" s="48" t="s">
        <v>58</v>
      </c>
      <c r="L33" s="36"/>
    </row>
    <row r="34">
      <c r="A34" s="26"/>
      <c r="B34" s="26"/>
      <c r="C34" s="34"/>
      <c r="D34" s="21"/>
      <c r="E34" s="21">
        <v>3.0</v>
      </c>
      <c r="F34" s="21">
        <v>0.0</v>
      </c>
      <c r="G34" s="22" t="s">
        <v>38</v>
      </c>
      <c r="H34" s="23"/>
      <c r="I34" s="23">
        <f>SUM(I35:I36)</f>
        <v>1300</v>
      </c>
      <c r="J34" s="45"/>
      <c r="K34" s="45"/>
      <c r="L34" s="36"/>
    </row>
    <row r="35" ht="120.0" customHeight="1">
      <c r="A35" s="26"/>
      <c r="B35" s="26"/>
      <c r="C35" s="34"/>
      <c r="D35" s="21"/>
      <c r="E35" s="21"/>
      <c r="F35" s="21">
        <v>1.0</v>
      </c>
      <c r="G35" s="22" t="s">
        <v>39</v>
      </c>
      <c r="H35" s="23"/>
      <c r="I35" s="46">
        <v>1300.0</v>
      </c>
      <c r="J35" s="47" t="s">
        <v>59</v>
      </c>
      <c r="K35" s="48" t="s">
        <v>60</v>
      </c>
      <c r="L35" s="36"/>
    </row>
    <row r="36">
      <c r="A36" s="26"/>
      <c r="B36" s="26"/>
      <c r="C36" s="34"/>
      <c r="D36" s="21"/>
      <c r="E36" s="21"/>
      <c r="F36" s="21">
        <v>12.0</v>
      </c>
      <c r="G36" s="22" t="s">
        <v>30</v>
      </c>
      <c r="H36" s="23"/>
      <c r="I36" s="49">
        <v>0.0</v>
      </c>
      <c r="J36" s="48" t="s">
        <v>61</v>
      </c>
      <c r="K36" s="48" t="s">
        <v>62</v>
      </c>
      <c r="L36" s="36"/>
    </row>
    <row r="37">
      <c r="A37" s="26"/>
      <c r="B37" s="26"/>
      <c r="C37" s="43"/>
      <c r="D37" s="27">
        <v>3.0</v>
      </c>
      <c r="E37" s="27">
        <v>0.0</v>
      </c>
      <c r="F37" s="27">
        <v>0.0</v>
      </c>
      <c r="G37" s="28" t="s">
        <v>63</v>
      </c>
      <c r="H37" s="30"/>
      <c r="I37" s="30">
        <f>I38+I41</f>
        <v>2960</v>
      </c>
      <c r="J37" s="31"/>
      <c r="K37" s="12"/>
      <c r="L37" s="32"/>
    </row>
    <row r="38">
      <c r="A38" s="26"/>
      <c r="B38" s="26"/>
      <c r="C38" s="43"/>
      <c r="D38" s="27"/>
      <c r="E38" s="27">
        <v>2.0</v>
      </c>
      <c r="F38" s="27">
        <v>0.0</v>
      </c>
      <c r="G38" s="28" t="s">
        <v>17</v>
      </c>
      <c r="H38" s="30"/>
      <c r="I38" s="30">
        <f>SUM(I39:I40)</f>
        <v>1420</v>
      </c>
      <c r="J38" s="33"/>
      <c r="K38" s="33"/>
      <c r="L38" s="32"/>
    </row>
    <row r="39">
      <c r="A39" s="26"/>
      <c r="B39" s="26"/>
      <c r="C39" s="43"/>
      <c r="D39" s="27"/>
      <c r="E39" s="27"/>
      <c r="F39" s="27">
        <v>5.0</v>
      </c>
      <c r="G39" s="28" t="s">
        <v>42</v>
      </c>
      <c r="H39" s="30"/>
      <c r="I39" s="30">
        <v>720.0</v>
      </c>
      <c r="J39" s="33" t="s">
        <v>64</v>
      </c>
      <c r="K39" s="33"/>
      <c r="L39" s="32"/>
    </row>
    <row r="40">
      <c r="A40" s="26"/>
      <c r="B40" s="26"/>
      <c r="C40" s="43"/>
      <c r="D40" s="27"/>
      <c r="E40" s="27"/>
      <c r="F40" s="27">
        <v>10.0</v>
      </c>
      <c r="G40" s="28" t="s">
        <v>18</v>
      </c>
      <c r="H40" s="30"/>
      <c r="I40" s="30">
        <v>700.0</v>
      </c>
      <c r="J40" s="33" t="s">
        <v>65</v>
      </c>
      <c r="K40" s="33"/>
      <c r="L40" s="32"/>
    </row>
    <row r="41">
      <c r="A41" s="26"/>
      <c r="B41" s="26"/>
      <c r="C41" s="43"/>
      <c r="D41" s="27"/>
      <c r="E41" s="27">
        <v>3.0</v>
      </c>
      <c r="F41" s="27">
        <v>0.0</v>
      </c>
      <c r="G41" s="28" t="s">
        <v>38</v>
      </c>
      <c r="H41" s="30"/>
      <c r="I41" s="30">
        <f>I42</f>
        <v>1540</v>
      </c>
      <c r="J41" s="33"/>
      <c r="K41" s="33"/>
      <c r="L41" s="32"/>
    </row>
    <row r="42">
      <c r="A42" s="26"/>
      <c r="B42" s="26"/>
      <c r="C42" s="43"/>
      <c r="D42" s="27"/>
      <c r="E42" s="27"/>
      <c r="F42" s="27">
        <v>1.0</v>
      </c>
      <c r="G42" s="28" t="s">
        <v>39</v>
      </c>
      <c r="H42" s="30"/>
      <c r="I42" s="30">
        <v>1540.0</v>
      </c>
      <c r="J42" s="33" t="s">
        <v>66</v>
      </c>
      <c r="K42" s="33"/>
      <c r="L42" s="32"/>
    </row>
    <row r="43">
      <c r="A43" s="26"/>
      <c r="B43" s="26"/>
      <c r="C43" s="34"/>
      <c r="D43" s="21">
        <v>4.0</v>
      </c>
      <c r="E43" s="21">
        <v>0.0</v>
      </c>
      <c r="F43" s="21">
        <v>0.0</v>
      </c>
      <c r="G43" s="22" t="s">
        <v>67</v>
      </c>
      <c r="H43" s="23"/>
      <c r="I43" s="23">
        <v>0.0</v>
      </c>
      <c r="J43" s="44"/>
      <c r="K43" s="12"/>
      <c r="L43" s="36"/>
    </row>
    <row r="44">
      <c r="A44" s="26"/>
      <c r="B44" s="26"/>
      <c r="C44" s="43"/>
      <c r="D44" s="27">
        <v>5.0</v>
      </c>
      <c r="E44" s="27">
        <v>0.0</v>
      </c>
      <c r="F44" s="27">
        <v>0.0</v>
      </c>
      <c r="G44" s="28" t="s">
        <v>68</v>
      </c>
      <c r="H44" s="30"/>
      <c r="I44" s="30">
        <v>0.0</v>
      </c>
      <c r="J44" s="31"/>
      <c r="K44" s="12"/>
      <c r="L44" s="32"/>
    </row>
    <row r="45">
      <c r="A45" s="26"/>
      <c r="B45" s="26"/>
      <c r="C45" s="34"/>
      <c r="D45" s="21">
        <v>6.0</v>
      </c>
      <c r="E45" s="21">
        <v>0.0</v>
      </c>
      <c r="F45" s="21">
        <v>0.0</v>
      </c>
      <c r="G45" s="22" t="s">
        <v>69</v>
      </c>
      <c r="H45" s="23"/>
      <c r="I45" s="23">
        <f>I46+I52</f>
        <v>10304</v>
      </c>
      <c r="J45" s="44"/>
      <c r="K45" s="12"/>
      <c r="L45" s="36"/>
    </row>
    <row r="46">
      <c r="A46" s="26"/>
      <c r="B46" s="26"/>
      <c r="C46" s="34"/>
      <c r="D46" s="21"/>
      <c r="E46" s="21">
        <v>2.0</v>
      </c>
      <c r="F46" s="21">
        <v>0.0</v>
      </c>
      <c r="G46" s="22" t="s">
        <v>17</v>
      </c>
      <c r="H46" s="23"/>
      <c r="I46" s="23">
        <f>SUM(I47:I51)</f>
        <v>9804</v>
      </c>
      <c r="J46" s="45"/>
      <c r="K46" s="45"/>
      <c r="L46" s="36"/>
    </row>
    <row r="47">
      <c r="A47" s="26"/>
      <c r="B47" s="26"/>
      <c r="C47" s="34"/>
      <c r="D47" s="21"/>
      <c r="E47" s="21"/>
      <c r="F47" s="21">
        <v>3.0</v>
      </c>
      <c r="G47" s="22" t="s">
        <v>70</v>
      </c>
      <c r="H47" s="23"/>
      <c r="I47" s="23">
        <v>45.0</v>
      </c>
      <c r="J47" s="45" t="s">
        <v>71</v>
      </c>
      <c r="K47" s="45"/>
      <c r="L47" s="36"/>
    </row>
    <row r="48">
      <c r="A48" s="26"/>
      <c r="B48" s="26"/>
      <c r="C48" s="34"/>
      <c r="D48" s="21"/>
      <c r="E48" s="21"/>
      <c r="F48" s="21">
        <v>5.0</v>
      </c>
      <c r="G48" s="22" t="s">
        <v>42</v>
      </c>
      <c r="H48" s="23"/>
      <c r="I48" s="23">
        <f>367+367</f>
        <v>734</v>
      </c>
      <c r="J48" s="45" t="s">
        <v>72</v>
      </c>
      <c r="K48" s="45" t="s">
        <v>73</v>
      </c>
      <c r="L48" s="36"/>
    </row>
    <row r="49">
      <c r="A49" s="26"/>
      <c r="B49" s="26"/>
      <c r="C49" s="34"/>
      <c r="D49" s="21"/>
      <c r="E49" s="21"/>
      <c r="F49" s="21">
        <v>7.0</v>
      </c>
      <c r="G49" s="22" t="s">
        <v>18</v>
      </c>
      <c r="H49" s="23"/>
      <c r="I49" s="23">
        <v>25.0</v>
      </c>
      <c r="J49" s="45" t="s">
        <v>74</v>
      </c>
      <c r="K49" s="45"/>
      <c r="L49" s="36"/>
    </row>
    <row r="50">
      <c r="A50" s="26"/>
      <c r="B50" s="26"/>
      <c r="C50" s="34"/>
      <c r="D50" s="21"/>
      <c r="E50" s="21"/>
      <c r="F50" s="21">
        <v>13.0</v>
      </c>
      <c r="G50" s="22" t="s">
        <v>55</v>
      </c>
      <c r="H50" s="23"/>
      <c r="I50" s="23">
        <v>0.0</v>
      </c>
      <c r="J50" s="45" t="s">
        <v>75</v>
      </c>
      <c r="K50" s="45" t="s">
        <v>76</v>
      </c>
      <c r="L50" s="36"/>
    </row>
    <row r="51">
      <c r="A51" s="26"/>
      <c r="B51" s="26"/>
      <c r="C51" s="34"/>
      <c r="D51" s="21"/>
      <c r="E51" s="21"/>
      <c r="F51" s="21">
        <v>19.0</v>
      </c>
      <c r="G51" s="22" t="s">
        <v>21</v>
      </c>
      <c r="H51" s="23"/>
      <c r="I51" s="23">
        <f>2000+7000</f>
        <v>9000</v>
      </c>
      <c r="J51" s="45" t="s">
        <v>77</v>
      </c>
      <c r="K51" s="45" t="s">
        <v>78</v>
      </c>
      <c r="L51" s="36"/>
    </row>
    <row r="52">
      <c r="A52" s="26"/>
      <c r="B52" s="26"/>
      <c r="C52" s="34"/>
      <c r="D52" s="21"/>
      <c r="E52" s="21">
        <v>3.0</v>
      </c>
      <c r="F52" s="21">
        <v>0.0</v>
      </c>
      <c r="G52" s="22" t="s">
        <v>38</v>
      </c>
      <c r="H52" s="23"/>
      <c r="I52" s="23">
        <f>I53</f>
        <v>500</v>
      </c>
      <c r="J52" s="45"/>
      <c r="K52" s="45"/>
      <c r="L52" s="36"/>
    </row>
    <row r="53">
      <c r="A53" s="26"/>
      <c r="B53" s="26"/>
      <c r="C53" s="34"/>
      <c r="D53" s="21"/>
      <c r="E53" s="21"/>
      <c r="F53" s="21">
        <v>1.0</v>
      </c>
      <c r="G53" s="22" t="s">
        <v>79</v>
      </c>
      <c r="H53" s="23"/>
      <c r="I53" s="23">
        <v>500.0</v>
      </c>
      <c r="J53" s="45"/>
      <c r="K53" s="45" t="s">
        <v>80</v>
      </c>
      <c r="L53" s="36"/>
    </row>
    <row r="54">
      <c r="A54" s="26"/>
      <c r="B54" s="26"/>
      <c r="C54" s="43"/>
      <c r="D54" s="27">
        <v>7.0</v>
      </c>
      <c r="E54" s="27">
        <v>0.0</v>
      </c>
      <c r="F54" s="27">
        <v>0.0</v>
      </c>
      <c r="G54" s="28" t="s">
        <v>81</v>
      </c>
      <c r="H54" s="30"/>
      <c r="I54" s="30">
        <f>I55</f>
        <v>30000</v>
      </c>
      <c r="J54" s="31"/>
      <c r="K54" s="12"/>
      <c r="L54" s="32"/>
    </row>
    <row r="55">
      <c r="A55" s="26"/>
      <c r="B55" s="17"/>
      <c r="C55" s="43"/>
      <c r="D55" s="27"/>
      <c r="E55" s="27">
        <v>1.0</v>
      </c>
      <c r="F55" s="27">
        <v>0.0</v>
      </c>
      <c r="G55" s="28" t="s">
        <v>82</v>
      </c>
      <c r="H55" s="30"/>
      <c r="I55" s="30">
        <v>30000.0</v>
      </c>
      <c r="J55" s="10" t="s">
        <v>83</v>
      </c>
      <c r="K55" s="12"/>
      <c r="L55" s="32"/>
    </row>
    <row r="56">
      <c r="A56" s="51" t="s">
        <v>84</v>
      </c>
      <c r="B56" s="20">
        <f>SUM(I56+I67+I73)</f>
        <v>428027</v>
      </c>
      <c r="C56" s="34"/>
      <c r="D56" s="21">
        <v>8.0</v>
      </c>
      <c r="E56" s="21">
        <v>0.0</v>
      </c>
      <c r="F56" s="21">
        <v>0.0</v>
      </c>
      <c r="G56" s="22" t="s">
        <v>85</v>
      </c>
      <c r="H56" s="23"/>
      <c r="I56" s="23">
        <f>I57+I65</f>
        <v>31377</v>
      </c>
      <c r="J56" s="44"/>
      <c r="K56" s="12"/>
      <c r="L56" s="36"/>
    </row>
    <row r="57">
      <c r="A57" s="26"/>
      <c r="B57" s="26"/>
      <c r="C57" s="34"/>
      <c r="D57" s="21"/>
      <c r="E57" s="21">
        <v>2.0</v>
      </c>
      <c r="F57" s="21">
        <v>0.0</v>
      </c>
      <c r="G57" s="22" t="s">
        <v>17</v>
      </c>
      <c r="H57" s="23"/>
      <c r="I57" s="23">
        <f>SUM(I58:I64)</f>
        <v>31377</v>
      </c>
      <c r="J57" s="45"/>
      <c r="K57" s="45"/>
      <c r="L57" s="36"/>
    </row>
    <row r="58">
      <c r="A58" s="26"/>
      <c r="B58" s="26"/>
      <c r="C58" s="34"/>
      <c r="D58" s="21"/>
      <c r="E58" s="21"/>
      <c r="F58" s="21">
        <v>5.0</v>
      </c>
      <c r="G58" s="22" t="s">
        <v>42</v>
      </c>
      <c r="H58" s="23"/>
      <c r="I58" s="23">
        <v>0.0</v>
      </c>
      <c r="J58" s="45" t="s">
        <v>86</v>
      </c>
      <c r="K58" s="45"/>
      <c r="L58" s="36"/>
    </row>
    <row r="59">
      <c r="A59" s="26"/>
      <c r="B59" s="26"/>
      <c r="C59" s="34"/>
      <c r="D59" s="21"/>
      <c r="E59" s="21"/>
      <c r="F59" s="21">
        <v>7.0</v>
      </c>
      <c r="G59" s="22" t="s">
        <v>18</v>
      </c>
      <c r="H59" s="23"/>
      <c r="I59" s="49">
        <v>0.0</v>
      </c>
      <c r="J59" s="45" t="s">
        <v>87</v>
      </c>
      <c r="K59" s="50" t="s">
        <v>88</v>
      </c>
      <c r="L59" s="36"/>
    </row>
    <row r="60">
      <c r="A60" s="26"/>
      <c r="B60" s="26"/>
      <c r="C60" s="34"/>
      <c r="D60" s="21"/>
      <c r="E60" s="21"/>
      <c r="F60" s="21">
        <v>8.0</v>
      </c>
      <c r="G60" s="22" t="s">
        <v>49</v>
      </c>
      <c r="H60" s="23"/>
      <c r="I60" s="49">
        <v>0.0</v>
      </c>
      <c r="J60" s="45" t="s">
        <v>89</v>
      </c>
      <c r="K60" s="50" t="s">
        <v>90</v>
      </c>
      <c r="L60" s="36"/>
    </row>
    <row r="61">
      <c r="A61" s="26"/>
      <c r="B61" s="26"/>
      <c r="C61" s="34"/>
      <c r="D61" s="21"/>
      <c r="E61" s="21"/>
      <c r="F61" s="21">
        <v>10.0</v>
      </c>
      <c r="G61" s="22" t="s">
        <v>91</v>
      </c>
      <c r="H61" s="23"/>
      <c r="I61" s="23">
        <v>0.0</v>
      </c>
      <c r="J61" s="45" t="s">
        <v>92</v>
      </c>
      <c r="K61" s="45"/>
      <c r="L61" s="36"/>
    </row>
    <row r="62">
      <c r="A62" s="26"/>
      <c r="B62" s="26"/>
      <c r="C62" s="34"/>
      <c r="D62" s="21"/>
      <c r="E62" s="21"/>
      <c r="F62" s="21">
        <v>11.0</v>
      </c>
      <c r="G62" s="22" t="s">
        <v>52</v>
      </c>
      <c r="H62" s="23"/>
      <c r="I62" s="23">
        <v>31000.0</v>
      </c>
      <c r="J62" s="45" t="s">
        <v>93</v>
      </c>
      <c r="K62" s="45"/>
      <c r="L62" s="36"/>
    </row>
    <row r="63">
      <c r="A63" s="26"/>
      <c r="B63" s="26"/>
      <c r="C63" s="34"/>
      <c r="D63" s="21"/>
      <c r="E63" s="21"/>
      <c r="F63" s="21">
        <v>13.0</v>
      </c>
      <c r="G63" s="22" t="s">
        <v>55</v>
      </c>
      <c r="H63" s="23"/>
      <c r="I63" s="23">
        <v>0.0</v>
      </c>
      <c r="J63" s="45" t="s">
        <v>94</v>
      </c>
      <c r="K63" s="45"/>
      <c r="L63" s="36"/>
    </row>
    <row r="64">
      <c r="A64" s="26"/>
      <c r="B64" s="26"/>
      <c r="C64" s="34"/>
      <c r="D64" s="21"/>
      <c r="E64" s="21"/>
      <c r="F64" s="21">
        <v>19.0</v>
      </c>
      <c r="G64" s="22" t="s">
        <v>21</v>
      </c>
      <c r="H64" s="23"/>
      <c r="I64" s="23">
        <v>377.0</v>
      </c>
      <c r="J64" s="45" t="s">
        <v>95</v>
      </c>
      <c r="K64" s="45"/>
      <c r="L64" s="36"/>
    </row>
    <row r="65">
      <c r="A65" s="26"/>
      <c r="B65" s="26"/>
      <c r="C65" s="34"/>
      <c r="D65" s="21"/>
      <c r="E65" s="21">
        <v>3.0</v>
      </c>
      <c r="F65" s="21">
        <v>0.0</v>
      </c>
      <c r="G65" s="22" t="s">
        <v>38</v>
      </c>
      <c r="H65" s="23"/>
      <c r="I65" s="23">
        <f>I66</f>
        <v>0</v>
      </c>
      <c r="J65" s="45"/>
      <c r="K65" s="45"/>
      <c r="L65" s="36"/>
    </row>
    <row r="66">
      <c r="A66" s="26"/>
      <c r="B66" s="26"/>
      <c r="C66" s="34"/>
      <c r="D66" s="21"/>
      <c r="E66" s="21"/>
      <c r="F66" s="21">
        <v>1.0</v>
      </c>
      <c r="G66" s="22" t="s">
        <v>96</v>
      </c>
      <c r="H66" s="23"/>
      <c r="I66" s="49">
        <v>0.0</v>
      </c>
      <c r="J66" s="45" t="s">
        <v>97</v>
      </c>
      <c r="K66" s="50" t="s">
        <v>98</v>
      </c>
      <c r="L66" s="36"/>
    </row>
    <row r="67">
      <c r="A67" s="26"/>
      <c r="B67" s="26"/>
      <c r="C67" s="43"/>
      <c r="D67" s="27">
        <v>9.0</v>
      </c>
      <c r="E67" s="27">
        <v>0.0</v>
      </c>
      <c r="F67" s="27">
        <v>0.0</v>
      </c>
      <c r="G67" s="28" t="s">
        <v>99</v>
      </c>
      <c r="H67" s="30"/>
      <c r="I67" s="30">
        <f>I68+I69+I70+I71</f>
        <v>377580</v>
      </c>
      <c r="J67" s="33"/>
      <c r="K67" s="33"/>
      <c r="L67" s="32"/>
    </row>
    <row r="68">
      <c r="A68" s="26"/>
      <c r="B68" s="26"/>
      <c r="C68" s="43"/>
      <c r="D68" s="27"/>
      <c r="E68" s="27">
        <v>8.0</v>
      </c>
      <c r="F68" s="27">
        <v>0.0</v>
      </c>
      <c r="G68" s="28" t="s">
        <v>100</v>
      </c>
      <c r="H68" s="30"/>
      <c r="I68" s="30">
        <v>46000.0</v>
      </c>
      <c r="J68" s="10" t="s">
        <v>101</v>
      </c>
      <c r="K68" s="11"/>
      <c r="L68" s="32"/>
    </row>
    <row r="69">
      <c r="A69" s="26"/>
      <c r="B69" s="26"/>
      <c r="C69" s="43"/>
      <c r="D69" s="27"/>
      <c r="E69" s="27">
        <v>9.0</v>
      </c>
      <c r="F69" s="27">
        <v>0.0</v>
      </c>
      <c r="G69" s="28" t="s">
        <v>102</v>
      </c>
      <c r="H69" s="30"/>
      <c r="I69" s="30">
        <v>140000.0</v>
      </c>
      <c r="J69" s="52" t="s">
        <v>103</v>
      </c>
      <c r="K69" s="12"/>
      <c r="L69" s="32"/>
    </row>
    <row r="70">
      <c r="A70" s="26"/>
      <c r="B70" s="26"/>
      <c r="C70" s="43"/>
      <c r="D70" s="27"/>
      <c r="E70" s="27">
        <v>10.0</v>
      </c>
      <c r="F70" s="27">
        <v>0.0</v>
      </c>
      <c r="G70" s="28" t="s">
        <v>104</v>
      </c>
      <c r="H70" s="30"/>
      <c r="I70" s="30">
        <v>30000.0</v>
      </c>
      <c r="J70" s="52" t="s">
        <v>105</v>
      </c>
      <c r="K70" s="11"/>
      <c r="L70" s="32"/>
    </row>
    <row r="71">
      <c r="A71" s="26"/>
      <c r="B71" s="26"/>
      <c r="C71" s="43"/>
      <c r="D71" s="27"/>
      <c r="E71" s="27">
        <v>1.0</v>
      </c>
      <c r="F71" s="27">
        <v>0.0</v>
      </c>
      <c r="G71" s="28" t="s">
        <v>106</v>
      </c>
      <c r="H71" s="30"/>
      <c r="I71" s="30">
        <f>I72</f>
        <v>161580</v>
      </c>
      <c r="J71" s="31"/>
      <c r="K71" s="33"/>
      <c r="L71" s="32"/>
    </row>
    <row r="72">
      <c r="A72" s="26"/>
      <c r="B72" s="26"/>
      <c r="C72" s="43"/>
      <c r="D72" s="27"/>
      <c r="E72" s="27"/>
      <c r="F72" s="27">
        <v>1.0</v>
      </c>
      <c r="G72" s="28" t="s">
        <v>107</v>
      </c>
      <c r="H72" s="30"/>
      <c r="I72" s="30">
        <v>161580.0</v>
      </c>
      <c r="J72" s="31" t="s">
        <v>108</v>
      </c>
      <c r="K72" s="31" t="s">
        <v>109</v>
      </c>
      <c r="L72" s="32"/>
    </row>
    <row r="73">
      <c r="A73" s="26"/>
      <c r="B73" s="26"/>
      <c r="C73" s="34"/>
      <c r="D73" s="21">
        <v>10.0</v>
      </c>
      <c r="E73" s="21">
        <v>0.0</v>
      </c>
      <c r="F73" s="21">
        <v>0.0</v>
      </c>
      <c r="G73" s="22" t="s">
        <v>110</v>
      </c>
      <c r="H73" s="23"/>
      <c r="I73" s="23">
        <f>I74+I78</f>
        <v>19070</v>
      </c>
      <c r="J73" s="45"/>
      <c r="K73" s="45"/>
      <c r="L73" s="36"/>
    </row>
    <row r="74">
      <c r="A74" s="26"/>
      <c r="B74" s="26"/>
      <c r="C74" s="34"/>
      <c r="D74" s="21"/>
      <c r="E74" s="21">
        <v>2.0</v>
      </c>
      <c r="F74" s="21">
        <v>0.0</v>
      </c>
      <c r="G74" s="22" t="s">
        <v>17</v>
      </c>
      <c r="H74" s="23"/>
      <c r="I74" s="23">
        <f>I75+I76+I77</f>
        <v>12270</v>
      </c>
      <c r="J74" s="45"/>
      <c r="K74" s="45"/>
      <c r="L74" s="36"/>
    </row>
    <row r="75">
      <c r="A75" s="26"/>
      <c r="B75" s="26"/>
      <c r="C75" s="34"/>
      <c r="D75" s="21"/>
      <c r="E75" s="21"/>
      <c r="F75" s="21">
        <v>7.0</v>
      </c>
      <c r="G75" s="22" t="s">
        <v>91</v>
      </c>
      <c r="H75" s="23"/>
      <c r="I75" s="23">
        <v>10500.0</v>
      </c>
      <c r="J75" s="45"/>
      <c r="K75" s="45" t="s">
        <v>111</v>
      </c>
      <c r="L75" s="36"/>
    </row>
    <row r="76">
      <c r="A76" s="26"/>
      <c r="B76" s="26"/>
      <c r="C76" s="34"/>
      <c r="D76" s="21"/>
      <c r="E76" s="21"/>
      <c r="F76" s="21">
        <v>10.0</v>
      </c>
      <c r="G76" s="22" t="s">
        <v>18</v>
      </c>
      <c r="H76" s="23"/>
      <c r="I76" s="23">
        <v>330.0</v>
      </c>
      <c r="J76" s="45" t="s">
        <v>112</v>
      </c>
      <c r="K76" s="45" t="s">
        <v>113</v>
      </c>
      <c r="L76" s="36"/>
    </row>
    <row r="77">
      <c r="A77" s="26"/>
      <c r="B77" s="26"/>
      <c r="C77" s="34"/>
      <c r="D77" s="21"/>
      <c r="E77" s="21"/>
      <c r="F77" s="21">
        <v>13.0</v>
      </c>
      <c r="G77" s="22" t="s">
        <v>55</v>
      </c>
      <c r="H77" s="23"/>
      <c r="I77" s="23">
        <v>1440.0</v>
      </c>
      <c r="J77" s="45"/>
      <c r="K77" s="45" t="s">
        <v>114</v>
      </c>
      <c r="L77" s="36"/>
    </row>
    <row r="78">
      <c r="A78" s="26"/>
      <c r="B78" s="26"/>
      <c r="C78" s="34"/>
      <c r="D78" s="34"/>
      <c r="E78" s="21">
        <v>3.0</v>
      </c>
      <c r="F78" s="21">
        <v>0.0</v>
      </c>
      <c r="G78" s="22" t="s">
        <v>38</v>
      </c>
      <c r="H78" s="53"/>
      <c r="I78" s="23">
        <f>I79+I80</f>
        <v>6800</v>
      </c>
      <c r="J78" s="54"/>
      <c r="K78" s="54"/>
      <c r="L78" s="36"/>
    </row>
    <row r="79">
      <c r="A79" s="26"/>
      <c r="B79" s="26"/>
      <c r="C79" s="34"/>
      <c r="D79" s="34"/>
      <c r="E79" s="21"/>
      <c r="F79" s="21">
        <v>1.0</v>
      </c>
      <c r="G79" s="22" t="s">
        <v>39</v>
      </c>
      <c r="H79" s="53"/>
      <c r="I79" s="23">
        <v>1800.0</v>
      </c>
      <c r="J79" s="45" t="s">
        <v>115</v>
      </c>
      <c r="K79" s="45"/>
      <c r="L79" s="36"/>
    </row>
    <row r="80">
      <c r="A80" s="26"/>
      <c r="B80" s="26"/>
      <c r="C80" s="34"/>
      <c r="D80" s="34"/>
      <c r="E80" s="21"/>
      <c r="F80" s="21">
        <v>4.0</v>
      </c>
      <c r="G80" s="22" t="s">
        <v>116</v>
      </c>
      <c r="H80" s="53"/>
      <c r="I80" s="23">
        <v>5000.0</v>
      </c>
      <c r="J80" s="35" t="s">
        <v>117</v>
      </c>
      <c r="K80" s="12"/>
      <c r="L80" s="36"/>
    </row>
    <row r="81">
      <c r="A81" s="26"/>
      <c r="B81" s="17"/>
      <c r="C81" s="43">
        <v>4.0</v>
      </c>
      <c r="D81" s="43">
        <v>0.0</v>
      </c>
      <c r="E81" s="27">
        <v>0.0</v>
      </c>
      <c r="F81" s="27">
        <v>0.0</v>
      </c>
      <c r="G81" s="28" t="s">
        <v>118</v>
      </c>
      <c r="H81" s="55"/>
      <c r="I81" s="30">
        <v>5000.0</v>
      </c>
      <c r="J81" s="10" t="s">
        <v>33</v>
      </c>
      <c r="K81" s="12"/>
      <c r="L81" s="32"/>
    </row>
    <row r="82">
      <c r="A82" s="37" t="s">
        <v>119</v>
      </c>
      <c r="B82" s="56">
        <v>40000.0</v>
      </c>
      <c r="C82" s="34">
        <v>5.0</v>
      </c>
      <c r="D82" s="34">
        <v>0.0</v>
      </c>
      <c r="E82" s="21">
        <v>0.0</v>
      </c>
      <c r="F82" s="21">
        <v>0.0</v>
      </c>
      <c r="G82" s="22" t="s">
        <v>120</v>
      </c>
      <c r="H82" s="57"/>
      <c r="I82" s="23">
        <v>40000.0</v>
      </c>
      <c r="J82" s="58"/>
      <c r="K82" s="12"/>
      <c r="L82" s="59"/>
    </row>
    <row r="83">
      <c r="A83" s="60" t="s">
        <v>121</v>
      </c>
      <c r="B83" s="61">
        <v>24280.0</v>
      </c>
      <c r="C83" s="37">
        <v>6.0</v>
      </c>
      <c r="D83" s="37">
        <v>0.0</v>
      </c>
      <c r="E83" s="37">
        <v>0.0</v>
      </c>
      <c r="F83" s="38">
        <v>0.0</v>
      </c>
      <c r="G83" s="41" t="s">
        <v>122</v>
      </c>
      <c r="H83" s="62"/>
      <c r="I83" s="40">
        <f>SUM(I84+I87)</f>
        <v>24280</v>
      </c>
      <c r="J83" s="63"/>
      <c r="K83" s="12"/>
      <c r="L83" s="64"/>
    </row>
    <row r="84">
      <c r="A84" s="4"/>
      <c r="B84" s="26"/>
      <c r="C84" s="65"/>
      <c r="D84" s="43">
        <v>2.0</v>
      </c>
      <c r="E84" s="43">
        <v>0.0</v>
      </c>
      <c r="F84" s="27">
        <v>0.0</v>
      </c>
      <c r="G84" s="33" t="s">
        <v>17</v>
      </c>
      <c r="H84" s="66"/>
      <c r="I84" s="30">
        <f>SUM(I85:I86)</f>
        <v>9480</v>
      </c>
      <c r="J84" s="67"/>
      <c r="K84" s="12"/>
      <c r="L84" s="68"/>
    </row>
    <row r="85">
      <c r="A85" s="4"/>
      <c r="B85" s="26"/>
      <c r="C85" s="65"/>
      <c r="D85" s="65"/>
      <c r="E85" s="43">
        <v>6.0</v>
      </c>
      <c r="F85" s="27">
        <v>0.0</v>
      </c>
      <c r="G85" s="33" t="s">
        <v>45</v>
      </c>
      <c r="H85" s="66"/>
      <c r="I85" s="30">
        <v>4680.0</v>
      </c>
      <c r="J85" s="69" t="s">
        <v>123</v>
      </c>
      <c r="K85" s="12"/>
      <c r="L85" s="68"/>
    </row>
    <row r="86">
      <c r="A86" s="4"/>
      <c r="B86" s="26"/>
      <c r="C86" s="65"/>
      <c r="D86" s="65"/>
      <c r="E86" s="43">
        <v>7.0</v>
      </c>
      <c r="F86" s="27">
        <v>0.0</v>
      </c>
      <c r="G86" s="33" t="s">
        <v>18</v>
      </c>
      <c r="H86" s="66"/>
      <c r="I86" s="30">
        <v>4800.0</v>
      </c>
      <c r="J86" s="69" t="s">
        <v>124</v>
      </c>
      <c r="K86" s="12"/>
      <c r="L86" s="68"/>
    </row>
    <row r="87">
      <c r="A87" s="6"/>
      <c r="B87" s="17"/>
      <c r="C87" s="65"/>
      <c r="D87" s="43">
        <v>12.0</v>
      </c>
      <c r="E87" s="43">
        <v>0.0</v>
      </c>
      <c r="F87" s="27">
        <v>0.0</v>
      </c>
      <c r="G87" s="33" t="s">
        <v>30</v>
      </c>
      <c r="H87" s="66"/>
      <c r="I87" s="30">
        <v>14800.0</v>
      </c>
      <c r="J87" s="69" t="s">
        <v>125</v>
      </c>
      <c r="K87" s="12"/>
      <c r="L87" s="68"/>
    </row>
  </sheetData>
  <mergeCells count="43">
    <mergeCell ref="J37:K37"/>
    <mergeCell ref="J43:K43"/>
    <mergeCell ref="J4:J5"/>
    <mergeCell ref="K4:K5"/>
    <mergeCell ref="A6:A55"/>
    <mergeCell ref="B6:B55"/>
    <mergeCell ref="J7:K7"/>
    <mergeCell ref="J9:K9"/>
    <mergeCell ref="J13:K13"/>
    <mergeCell ref="A1:L3"/>
    <mergeCell ref="A4:A5"/>
    <mergeCell ref="B4:B5"/>
    <mergeCell ref="C4:F4"/>
    <mergeCell ref="G4:G5"/>
    <mergeCell ref="H4:H5"/>
    <mergeCell ref="I4:I5"/>
    <mergeCell ref="L4:L5"/>
    <mergeCell ref="J14:K14"/>
    <mergeCell ref="J15:K15"/>
    <mergeCell ref="J16:K16"/>
    <mergeCell ref="J17:K17"/>
    <mergeCell ref="J19:K19"/>
    <mergeCell ref="J25:K25"/>
    <mergeCell ref="J44:K44"/>
    <mergeCell ref="J45:K45"/>
    <mergeCell ref="A56:A81"/>
    <mergeCell ref="B56:B81"/>
    <mergeCell ref="A83:A87"/>
    <mergeCell ref="B83:B87"/>
    <mergeCell ref="J81:K81"/>
    <mergeCell ref="J82:K82"/>
    <mergeCell ref="J83:K83"/>
    <mergeCell ref="J84:K84"/>
    <mergeCell ref="J85:K85"/>
    <mergeCell ref="J86:K86"/>
    <mergeCell ref="J87:K87"/>
    <mergeCell ref="J54:K54"/>
    <mergeCell ref="J55:K55"/>
    <mergeCell ref="J56:K56"/>
    <mergeCell ref="J68:K68"/>
    <mergeCell ref="J69:K69"/>
    <mergeCell ref="J70:K70"/>
    <mergeCell ref="J80:K80"/>
  </mergeCells>
  <conditionalFormatting sqref="J68:K68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3" width="10.13"/>
    <col customWidth="1" min="4" max="4" width="21.0"/>
    <col customWidth="1" min="5" max="5" width="10.75"/>
    <col customWidth="1" min="6" max="6" width="10.5"/>
    <col customWidth="1" min="7" max="7" width="12.75"/>
    <col customWidth="1" min="8" max="8" width="19.63"/>
    <col customWidth="1" min="9" max="9" width="34.25"/>
    <col customWidth="1" min="10" max="10" width="8.5"/>
    <col customWidth="1" min="11" max="11" width="13.25"/>
    <col customWidth="1" min="12" max="27" width="8.5"/>
  </cols>
  <sheetData>
    <row r="1" ht="15.75" customHeight="1">
      <c r="A1" s="70" t="s">
        <v>126</v>
      </c>
      <c r="B1" s="12"/>
      <c r="C1" s="71" t="s">
        <v>127</v>
      </c>
      <c r="D1" s="71" t="s">
        <v>128</v>
      </c>
      <c r="E1" s="71" t="s">
        <v>129</v>
      </c>
      <c r="F1" s="71" t="s">
        <v>130</v>
      </c>
      <c r="G1" s="71" t="s">
        <v>131</v>
      </c>
      <c r="H1" s="71" t="s">
        <v>132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ht="15.75" customHeight="1">
      <c r="A2" s="73" t="s">
        <v>133</v>
      </c>
      <c r="B2" s="74" t="s">
        <v>16</v>
      </c>
      <c r="C2" s="75">
        <f>SUM(E2:E27)</f>
        <v>227649</v>
      </c>
      <c r="D2" s="76" t="s">
        <v>134</v>
      </c>
      <c r="E2" s="77">
        <v>3500.0</v>
      </c>
      <c r="F2" s="77"/>
      <c r="G2" s="76"/>
      <c r="H2" s="76"/>
      <c r="I2" s="72"/>
      <c r="J2" s="72"/>
      <c r="K2" s="78">
        <v>80000.0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</row>
    <row r="3" ht="15.75" customHeight="1">
      <c r="A3" s="26"/>
      <c r="B3" s="26"/>
      <c r="C3" s="26"/>
      <c r="D3" s="76" t="s">
        <v>135</v>
      </c>
      <c r="E3" s="77">
        <v>80000.0</v>
      </c>
      <c r="F3" s="79"/>
      <c r="G3" s="76"/>
      <c r="H3" s="76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</row>
    <row r="4" ht="15.75" customHeight="1">
      <c r="A4" s="26"/>
      <c r="B4" s="17"/>
      <c r="C4" s="26"/>
      <c r="D4" s="76" t="s">
        <v>136</v>
      </c>
      <c r="E4" s="77">
        <v>10000.0</v>
      </c>
      <c r="F4" s="79"/>
      <c r="G4" s="80">
        <f>SUM(E2:E4)</f>
        <v>93500</v>
      </c>
      <c r="H4" s="76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 ht="15.75" customHeight="1">
      <c r="A5" s="26"/>
      <c r="B5" s="81"/>
      <c r="C5" s="26"/>
      <c r="D5" s="82" t="s">
        <v>32</v>
      </c>
      <c r="E5" s="77">
        <v>5000.0</v>
      </c>
      <c r="F5" s="79"/>
      <c r="G5" s="76"/>
      <c r="H5" s="76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</row>
    <row r="6" ht="15.75" customHeight="1">
      <c r="A6" s="26"/>
      <c r="B6" s="73" t="s">
        <v>137</v>
      </c>
      <c r="C6" s="26"/>
      <c r="D6" s="83" t="s">
        <v>138</v>
      </c>
      <c r="E6" s="77">
        <v>2045.0</v>
      </c>
      <c r="F6" s="77"/>
      <c r="G6" s="76"/>
      <c r="H6" s="76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 ht="15.75" customHeight="1">
      <c r="A7" s="26"/>
      <c r="B7" s="26"/>
      <c r="C7" s="26"/>
      <c r="D7" s="84" t="s">
        <v>139</v>
      </c>
      <c r="E7" s="77">
        <v>367.0</v>
      </c>
      <c r="F7" s="79"/>
      <c r="G7" s="76"/>
      <c r="H7" s="76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ht="15.75" customHeight="1">
      <c r="A8" s="26"/>
      <c r="B8" s="26"/>
      <c r="C8" s="26"/>
      <c r="D8" s="84" t="s">
        <v>140</v>
      </c>
      <c r="E8" s="77">
        <v>25.0</v>
      </c>
      <c r="F8" s="77"/>
      <c r="G8" s="76"/>
      <c r="H8" s="76"/>
      <c r="I8" s="72" t="s">
        <v>141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 ht="15.75" customHeight="1">
      <c r="A9" s="26"/>
      <c r="B9" s="26"/>
      <c r="C9" s="26"/>
      <c r="D9" s="84" t="s">
        <v>142</v>
      </c>
      <c r="E9" s="77">
        <v>300.0</v>
      </c>
      <c r="F9" s="79"/>
      <c r="G9" s="76"/>
      <c r="H9" s="76"/>
      <c r="I9" s="72" t="s">
        <v>143</v>
      </c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ht="15.75" customHeight="1">
      <c r="A10" s="26"/>
      <c r="B10" s="26"/>
      <c r="C10" s="26"/>
      <c r="D10" s="84" t="s">
        <v>144</v>
      </c>
      <c r="E10" s="77">
        <v>367.0</v>
      </c>
      <c r="F10" s="85"/>
      <c r="G10" s="76"/>
      <c r="H10" s="76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ht="15.75" customHeight="1">
      <c r="A11" s="26"/>
      <c r="B11" s="26"/>
      <c r="C11" s="26"/>
      <c r="D11" s="84" t="s">
        <v>145</v>
      </c>
      <c r="E11" s="77">
        <v>500.0</v>
      </c>
      <c r="F11" s="79"/>
      <c r="G11" s="76"/>
      <c r="H11" s="76"/>
      <c r="I11" s="72" t="s">
        <v>143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ht="15.75" customHeight="1">
      <c r="A12" s="26"/>
      <c r="B12" s="17"/>
      <c r="C12" s="26"/>
      <c r="D12" s="84" t="s">
        <v>146</v>
      </c>
      <c r="E12" s="77">
        <v>7000.0</v>
      </c>
      <c r="F12" s="79"/>
      <c r="G12" s="80">
        <f>SUM(E6:E12)</f>
        <v>10604</v>
      </c>
      <c r="H12" s="80"/>
      <c r="I12" s="72"/>
      <c r="J12" s="72"/>
      <c r="K12" s="86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 ht="15.75" customHeight="1">
      <c r="A13" s="26"/>
      <c r="B13" s="73" t="s">
        <v>147</v>
      </c>
      <c r="C13" s="26"/>
      <c r="D13" s="84" t="s">
        <v>148</v>
      </c>
      <c r="E13" s="77">
        <v>695.0</v>
      </c>
      <c r="F13" s="77"/>
      <c r="G13" s="76"/>
      <c r="H13" s="76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ht="15.75" customHeight="1">
      <c r="A14" s="26"/>
      <c r="B14" s="26"/>
      <c r="C14" s="26"/>
      <c r="D14" s="84" t="s">
        <v>149</v>
      </c>
      <c r="E14" s="77">
        <v>16950.0</v>
      </c>
      <c r="F14" s="77"/>
      <c r="G14" s="76"/>
      <c r="H14" s="76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ht="15.75" customHeight="1">
      <c r="A15" s="26"/>
      <c r="B15" s="17"/>
      <c r="C15" s="26"/>
      <c r="D15" s="84" t="s">
        <v>150</v>
      </c>
      <c r="E15" s="77">
        <v>20000.0</v>
      </c>
      <c r="F15" s="79"/>
      <c r="G15" s="80">
        <f>SUM(E13:E15)</f>
        <v>37645</v>
      </c>
      <c r="H15" s="80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ht="15.75" customHeight="1">
      <c r="A16" s="26"/>
      <c r="B16" s="73" t="s">
        <v>151</v>
      </c>
      <c r="C16" s="26"/>
      <c r="D16" s="84" t="s">
        <v>152</v>
      </c>
      <c r="E16" s="77">
        <v>4400.0</v>
      </c>
      <c r="F16" s="77"/>
      <c r="G16" s="76"/>
      <c r="H16" s="76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 ht="15.75" customHeight="1">
      <c r="A17" s="26"/>
      <c r="B17" s="26"/>
      <c r="C17" s="26"/>
      <c r="D17" s="84" t="s">
        <v>153</v>
      </c>
      <c r="E17" s="77">
        <v>5700.0</v>
      </c>
      <c r="F17" s="77"/>
      <c r="G17" s="76"/>
      <c r="H17" s="76"/>
      <c r="I17" s="72" t="s">
        <v>154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 ht="15.75" customHeight="1">
      <c r="A18" s="26"/>
      <c r="B18" s="26"/>
      <c r="C18" s="26"/>
      <c r="D18" s="84" t="s">
        <v>155</v>
      </c>
      <c r="E18" s="77">
        <v>5200.0</v>
      </c>
      <c r="F18" s="77"/>
      <c r="G18" s="76"/>
      <c r="H18" s="76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</row>
    <row r="19" ht="15.75" customHeight="1">
      <c r="A19" s="26"/>
      <c r="B19" s="26"/>
      <c r="C19" s="26"/>
      <c r="D19" s="84" t="s">
        <v>156</v>
      </c>
      <c r="E19" s="77">
        <v>2700.0</v>
      </c>
      <c r="F19" s="79"/>
      <c r="G19" s="76"/>
      <c r="H19" s="76"/>
      <c r="I19" s="72" t="s">
        <v>157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</row>
    <row r="20" ht="15.75" customHeight="1">
      <c r="A20" s="26"/>
      <c r="B20" s="26"/>
      <c r="C20" s="26"/>
      <c r="D20" s="84" t="s">
        <v>158</v>
      </c>
      <c r="E20" s="77">
        <v>51200.0</v>
      </c>
      <c r="F20" s="79"/>
      <c r="G20" s="76"/>
      <c r="H20" s="76"/>
      <c r="I20" s="72" t="s">
        <v>159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</row>
    <row r="21" ht="15.75" customHeight="1">
      <c r="A21" s="26"/>
      <c r="B21" s="26"/>
      <c r="C21" s="26"/>
      <c r="D21" s="84" t="s">
        <v>160</v>
      </c>
      <c r="E21" s="77">
        <v>6000.0</v>
      </c>
      <c r="F21" s="79"/>
      <c r="G21" s="80">
        <f>SUM(E18:E21)</f>
        <v>65100</v>
      </c>
      <c r="H21" s="80"/>
      <c r="I21" s="72" t="s">
        <v>157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ht="15.75" customHeight="1">
      <c r="A22" s="26"/>
      <c r="B22" s="17"/>
      <c r="C22" s="26"/>
      <c r="D22" s="84" t="s">
        <v>161</v>
      </c>
      <c r="E22" s="84">
        <v>2700.0</v>
      </c>
      <c r="F22" s="84"/>
      <c r="G22" s="84"/>
      <c r="H22" s="80"/>
      <c r="I22" s="72" t="s">
        <v>162</v>
      </c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 ht="15.75" customHeight="1">
      <c r="A23" s="26"/>
      <c r="B23" s="74" t="s">
        <v>163</v>
      </c>
      <c r="C23" s="26"/>
      <c r="D23" s="76" t="s">
        <v>164</v>
      </c>
      <c r="E23" s="77"/>
      <c r="F23" s="77"/>
      <c r="G23" s="76"/>
      <c r="H23" s="76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 ht="15.75" customHeight="1">
      <c r="A24" s="26"/>
      <c r="B24" s="26"/>
      <c r="C24" s="26"/>
      <c r="D24" s="76" t="s">
        <v>165</v>
      </c>
      <c r="E24" s="77">
        <v>1500.0</v>
      </c>
      <c r="F24" s="77"/>
      <c r="G24" s="76"/>
      <c r="H24" s="76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 ht="15.75" customHeight="1">
      <c r="A25" s="26"/>
      <c r="B25" s="17"/>
      <c r="C25" s="26"/>
      <c r="D25" s="76" t="s">
        <v>166</v>
      </c>
      <c r="E25" s="77">
        <v>1500.0</v>
      </c>
      <c r="F25" s="77" t="s">
        <v>167</v>
      </c>
      <c r="G25" s="80">
        <f>SUM(E23:E25)</f>
        <v>3000</v>
      </c>
      <c r="H25" s="76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 ht="15.75" customHeight="1">
      <c r="A26" s="26"/>
      <c r="B26" s="81" t="s">
        <v>168</v>
      </c>
      <c r="C26" s="26"/>
      <c r="D26" s="76" t="s">
        <v>169</v>
      </c>
      <c r="E26" s="77">
        <v>0.0</v>
      </c>
      <c r="F26" s="77"/>
      <c r="G26" s="80"/>
      <c r="H26" s="80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 ht="15.75" customHeight="1">
      <c r="A27" s="17"/>
      <c r="B27" s="87" t="s">
        <v>170</v>
      </c>
      <c r="C27" s="17"/>
      <c r="D27" s="76" t="s">
        <v>169</v>
      </c>
      <c r="E27" s="77">
        <v>0.0</v>
      </c>
      <c r="F27" s="79"/>
      <c r="G27" s="80"/>
      <c r="H27" s="80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ht="15.75" customHeight="1">
      <c r="A28" s="73" t="s">
        <v>171</v>
      </c>
      <c r="B28" s="73" t="s">
        <v>172</v>
      </c>
      <c r="C28" s="88">
        <f>SUM(E28:E41)</f>
        <v>503447</v>
      </c>
      <c r="D28" s="84" t="s">
        <v>173</v>
      </c>
      <c r="E28" s="77">
        <v>52377.0</v>
      </c>
      <c r="F28" s="77"/>
      <c r="G28" s="76"/>
      <c r="H28" s="76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ht="15.75" customHeight="1">
      <c r="A29" s="26"/>
      <c r="B29" s="26"/>
      <c r="C29" s="26"/>
      <c r="D29" s="84" t="s">
        <v>174</v>
      </c>
      <c r="E29" s="77">
        <v>0.0</v>
      </c>
      <c r="F29" s="77"/>
      <c r="G29" s="76"/>
      <c r="H29" s="76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 ht="15.75" customHeight="1">
      <c r="A30" s="26"/>
      <c r="B30" s="17"/>
      <c r="C30" s="26"/>
      <c r="D30" s="84" t="s">
        <v>175</v>
      </c>
      <c r="E30" s="77">
        <v>12600.0</v>
      </c>
      <c r="F30" s="77"/>
      <c r="G30" s="80">
        <f>SUM(E28:E29)</f>
        <v>52377</v>
      </c>
      <c r="H30" s="76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ht="15.75" customHeight="1">
      <c r="A31" s="26"/>
      <c r="B31" s="73" t="s">
        <v>176</v>
      </c>
      <c r="C31" s="26"/>
      <c r="D31" s="84" t="s">
        <v>177</v>
      </c>
      <c r="E31" s="89">
        <v>23000.0</v>
      </c>
      <c r="F31" s="89"/>
      <c r="G31" s="76"/>
      <c r="H31" s="76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 ht="15.75" customHeight="1">
      <c r="A32" s="26"/>
      <c r="B32" s="26"/>
      <c r="C32" s="26"/>
      <c r="D32" s="84" t="s">
        <v>178</v>
      </c>
      <c r="E32" s="89">
        <v>70000.0</v>
      </c>
      <c r="F32" s="89"/>
      <c r="G32" s="76"/>
      <c r="H32" s="76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ht="15.75" customHeight="1">
      <c r="A33" s="26"/>
      <c r="B33" s="26"/>
      <c r="C33" s="26"/>
      <c r="D33" s="84" t="s">
        <v>179</v>
      </c>
      <c r="E33" s="89">
        <v>30000.0</v>
      </c>
      <c r="F33" s="89"/>
      <c r="G33" s="76"/>
      <c r="H33" s="76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 ht="15.75" customHeight="1">
      <c r="A34" s="26"/>
      <c r="B34" s="26"/>
      <c r="C34" s="26"/>
      <c r="D34" s="84" t="s">
        <v>180</v>
      </c>
      <c r="E34" s="90">
        <v>79400.0</v>
      </c>
      <c r="F34" s="91"/>
      <c r="G34" s="76"/>
      <c r="H34" s="76"/>
      <c r="I34" s="72" t="s">
        <v>181</v>
      </c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 ht="15.75" customHeight="1">
      <c r="A35" s="26"/>
      <c r="B35" s="26"/>
      <c r="C35" s="26"/>
      <c r="D35" s="84" t="s">
        <v>182</v>
      </c>
      <c r="E35" s="89">
        <v>23000.0</v>
      </c>
      <c r="F35" s="91"/>
      <c r="G35" s="76"/>
      <c r="H35" s="76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 ht="15.75" customHeight="1">
      <c r="A36" s="26"/>
      <c r="B36" s="26"/>
      <c r="C36" s="26"/>
      <c r="D36" s="84" t="s">
        <v>183</v>
      </c>
      <c r="E36" s="89">
        <v>70000.0</v>
      </c>
      <c r="F36" s="89"/>
      <c r="G36" s="76"/>
      <c r="H36" s="76"/>
      <c r="I36" s="92"/>
      <c r="J36" s="93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 ht="15.75" customHeight="1">
      <c r="A37" s="26"/>
      <c r="B37" s="17"/>
      <c r="C37" s="26"/>
      <c r="D37" s="76" t="s">
        <v>184</v>
      </c>
      <c r="E37" s="90">
        <v>88400.0</v>
      </c>
      <c r="F37" s="91"/>
      <c r="G37" s="80">
        <f>SUM(E31:E37)</f>
        <v>383800</v>
      </c>
      <c r="H37" s="80"/>
      <c r="I37" s="72" t="s">
        <v>185</v>
      </c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 ht="15.75" customHeight="1">
      <c r="A38" s="26"/>
      <c r="B38" s="74" t="s">
        <v>186</v>
      </c>
      <c r="C38" s="26"/>
      <c r="D38" s="76" t="s">
        <v>187</v>
      </c>
      <c r="E38" s="77">
        <v>2700.0</v>
      </c>
      <c r="F38" s="77"/>
      <c r="G38" s="76"/>
      <c r="H38" s="76"/>
      <c r="I38" s="72" t="s">
        <v>143</v>
      </c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 ht="15.75" customHeight="1">
      <c r="A39" s="26"/>
      <c r="B39" s="26"/>
      <c r="C39" s="26"/>
      <c r="D39" s="76" t="s">
        <v>188</v>
      </c>
      <c r="E39" s="77">
        <v>10000.0</v>
      </c>
      <c r="F39" s="79"/>
      <c r="G39" s="76"/>
      <c r="H39" s="76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 ht="15.75" customHeight="1">
      <c r="A40" s="26"/>
      <c r="B40" s="17"/>
      <c r="C40" s="26"/>
      <c r="D40" s="76" t="s">
        <v>189</v>
      </c>
      <c r="E40" s="77">
        <v>11970.0</v>
      </c>
      <c r="F40" s="77"/>
      <c r="G40" s="80">
        <f>SUM(E38:E40)</f>
        <v>24670</v>
      </c>
      <c r="H40" s="80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ht="15.75" customHeight="1">
      <c r="A41" s="17"/>
      <c r="B41" s="81" t="s">
        <v>190</v>
      </c>
      <c r="C41" s="17"/>
      <c r="D41" s="94" t="s">
        <v>82</v>
      </c>
      <c r="E41" s="55">
        <v>30000.0</v>
      </c>
      <c r="F41" s="55"/>
      <c r="G41" s="80">
        <f>SUM(E41)</f>
        <v>30000</v>
      </c>
      <c r="H41" s="80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</row>
    <row r="42" ht="15.75" customHeight="1">
      <c r="A42" s="43"/>
      <c r="B42" s="81"/>
      <c r="C42" s="94"/>
      <c r="D42" s="95" t="s">
        <v>118</v>
      </c>
      <c r="E42" s="55">
        <v>5000.0</v>
      </c>
      <c r="F42" s="55"/>
      <c r="G42" s="80"/>
      <c r="H42" s="80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>
      <c r="A43" s="81" t="s">
        <v>191</v>
      </c>
      <c r="B43" s="94"/>
      <c r="C43" s="84"/>
      <c r="D43" s="94"/>
      <c r="E43" s="55">
        <v>40000.0</v>
      </c>
      <c r="F43" s="96"/>
      <c r="G43" s="80"/>
      <c r="H43" s="80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 ht="15.75" customHeight="1">
      <c r="A44" s="97" t="s">
        <v>192</v>
      </c>
      <c r="B44" s="76"/>
      <c r="C44" s="76"/>
      <c r="D44" s="76" t="s">
        <v>121</v>
      </c>
      <c r="E44" s="77">
        <v>24280.0</v>
      </c>
      <c r="F44" s="77"/>
      <c r="G44" s="76"/>
      <c r="H44" s="76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ht="31.5" customHeight="1">
      <c r="A45" s="98" t="s">
        <v>193</v>
      </c>
      <c r="B45" s="11"/>
      <c r="C45" s="11"/>
      <c r="D45" s="12"/>
      <c r="E45" s="55">
        <f>SUM(E2:E44)</f>
        <v>800376</v>
      </c>
      <c r="F45" s="55"/>
      <c r="G45" s="55"/>
      <c r="H45" s="80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 ht="15.75" customHeight="1">
      <c r="A46" s="72"/>
      <c r="B46" s="72"/>
      <c r="C46" s="72"/>
      <c r="D46" s="72"/>
      <c r="E46" s="99">
        <f>800000-E45</f>
        <v>-376</v>
      </c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 ht="15.75" customHeight="1">
      <c r="A47" s="72"/>
      <c r="B47" s="72"/>
      <c r="C47" s="72"/>
      <c r="D47" s="72"/>
      <c r="E47" s="99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 ht="15.75" customHeight="1">
      <c r="A49" s="72"/>
      <c r="B49" s="72"/>
      <c r="C49" s="72"/>
      <c r="D49" s="72"/>
      <c r="E49" s="99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 ht="15.75" customHeight="1">
      <c r="A50" s="72"/>
      <c r="B50" s="72"/>
      <c r="C50" s="72"/>
      <c r="D50" s="72"/>
      <c r="E50" s="99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ht="15.75" customHeight="1">
      <c r="A51" s="72"/>
      <c r="B51" s="72"/>
      <c r="C51" s="72"/>
      <c r="D51" s="72"/>
      <c r="E51" s="99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ht="15.75" customHeight="1">
      <c r="A52" s="72"/>
      <c r="B52" s="72"/>
      <c r="C52" s="72"/>
      <c r="D52" s="72"/>
      <c r="E52" s="99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ht="15.75" customHeight="1">
      <c r="A53" s="72"/>
      <c r="B53" s="72"/>
      <c r="C53" s="72"/>
      <c r="D53" s="72"/>
      <c r="E53" s="99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ht="15.75" customHeight="1">
      <c r="A54" s="72"/>
      <c r="B54" s="72"/>
      <c r="C54" s="72"/>
      <c r="D54" s="72"/>
      <c r="E54" s="99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ht="15.75" customHeight="1">
      <c r="A55" s="72"/>
      <c r="B55" s="72"/>
      <c r="C55" s="72"/>
      <c r="D55" s="72"/>
      <c r="E55" s="99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ht="15.75" customHeight="1">
      <c r="A56" s="72"/>
      <c r="B56" s="72"/>
      <c r="C56" s="72"/>
      <c r="D56" s="72"/>
      <c r="E56" s="99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ht="15.75" customHeight="1">
      <c r="A57" s="72"/>
      <c r="B57" s="72"/>
      <c r="C57" s="72"/>
      <c r="D57" s="72"/>
      <c r="E57" s="99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ht="15.75" customHeight="1">
      <c r="A58" s="72"/>
      <c r="B58" s="72"/>
      <c r="C58" s="72"/>
      <c r="D58" s="72"/>
      <c r="E58" s="99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ht="15.75" customHeight="1">
      <c r="A59" s="72"/>
      <c r="B59" s="72"/>
      <c r="C59" s="72"/>
      <c r="D59" s="72"/>
      <c r="E59" s="99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 ht="15.75" customHeight="1">
      <c r="A60" s="72"/>
      <c r="B60" s="72"/>
      <c r="C60" s="72"/>
      <c r="D60" s="72"/>
      <c r="E60" s="99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 ht="15.75" customHeight="1">
      <c r="A61" s="72"/>
      <c r="B61" s="72"/>
      <c r="C61" s="72"/>
      <c r="D61" s="72"/>
      <c r="E61" s="99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 ht="15.75" customHeight="1">
      <c r="A62" s="72"/>
      <c r="B62" s="72"/>
      <c r="C62" s="72"/>
      <c r="D62" s="72"/>
      <c r="E62" s="99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ht="15.75" customHeight="1">
      <c r="A63" s="72"/>
      <c r="B63" s="72"/>
      <c r="C63" s="72"/>
      <c r="D63" s="72"/>
      <c r="E63" s="99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ht="15.75" customHeight="1">
      <c r="A64" s="72"/>
      <c r="B64" s="72"/>
      <c r="C64" s="72"/>
      <c r="D64" s="72"/>
      <c r="E64" s="99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ht="15.75" customHeight="1">
      <c r="A65" s="72"/>
      <c r="B65" s="72"/>
      <c r="C65" s="72"/>
      <c r="D65" s="72"/>
      <c r="E65" s="99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ht="15.75" customHeight="1">
      <c r="A66" s="72"/>
      <c r="B66" s="72"/>
      <c r="C66" s="72"/>
      <c r="D66" s="72"/>
      <c r="E66" s="99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 ht="15.75" customHeight="1">
      <c r="A67" s="72"/>
      <c r="B67" s="72"/>
      <c r="C67" s="72"/>
      <c r="D67" s="72"/>
      <c r="E67" s="99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 ht="15.75" customHeight="1">
      <c r="A68" s="72"/>
      <c r="B68" s="72"/>
      <c r="C68" s="72"/>
      <c r="D68" s="72"/>
      <c r="E68" s="99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ht="15.75" customHeight="1">
      <c r="A69" s="72"/>
      <c r="B69" s="72"/>
      <c r="C69" s="72"/>
      <c r="D69" s="72"/>
      <c r="E69" s="99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 ht="15.75" customHeight="1">
      <c r="A70" s="72"/>
      <c r="B70" s="72"/>
      <c r="C70" s="72"/>
      <c r="D70" s="72"/>
      <c r="E70" s="99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 ht="15.75" customHeight="1">
      <c r="A71" s="72"/>
      <c r="B71" s="72"/>
      <c r="C71" s="72"/>
      <c r="D71" s="72"/>
      <c r="E71" s="99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 ht="15.75" customHeight="1">
      <c r="A72" s="72"/>
      <c r="B72" s="72"/>
      <c r="C72" s="72"/>
      <c r="D72" s="72"/>
      <c r="E72" s="99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 ht="15.75" customHeight="1">
      <c r="A73" s="72"/>
      <c r="B73" s="72"/>
      <c r="C73" s="72"/>
      <c r="D73" s="72"/>
      <c r="E73" s="99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 ht="15.75" customHeight="1">
      <c r="A74" s="72"/>
      <c r="B74" s="72"/>
      <c r="C74" s="72"/>
      <c r="D74" s="72"/>
      <c r="E74" s="99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 ht="15.75" customHeight="1">
      <c r="A75" s="72"/>
      <c r="B75" s="72"/>
      <c r="C75" s="72"/>
      <c r="D75" s="72"/>
      <c r="E75" s="99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 ht="15.75" customHeight="1">
      <c r="A76" s="72"/>
      <c r="B76" s="72"/>
      <c r="C76" s="72"/>
      <c r="D76" s="72"/>
      <c r="E76" s="99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 ht="15.75" customHeight="1">
      <c r="A77" s="72"/>
      <c r="B77" s="72"/>
      <c r="C77" s="72"/>
      <c r="D77" s="72"/>
      <c r="E77" s="99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 ht="15.75" customHeight="1">
      <c r="A78" s="72"/>
      <c r="B78" s="72"/>
      <c r="C78" s="72"/>
      <c r="D78" s="72"/>
      <c r="E78" s="99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 ht="15.75" customHeight="1">
      <c r="A79" s="72"/>
      <c r="B79" s="72"/>
      <c r="C79" s="72"/>
      <c r="D79" s="72"/>
      <c r="E79" s="99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ht="15.75" customHeight="1">
      <c r="A80" s="72"/>
      <c r="B80" s="72"/>
      <c r="C80" s="72"/>
      <c r="D80" s="72"/>
      <c r="E80" s="99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 ht="15.75" customHeight="1">
      <c r="A81" s="72"/>
      <c r="B81" s="72"/>
      <c r="C81" s="72"/>
      <c r="D81" s="72"/>
      <c r="E81" s="99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 ht="15.75" customHeight="1">
      <c r="A82" s="72"/>
      <c r="B82" s="72"/>
      <c r="C82" s="72"/>
      <c r="D82" s="72"/>
      <c r="E82" s="99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 ht="15.75" customHeight="1">
      <c r="A83" s="72"/>
      <c r="B83" s="72"/>
      <c r="C83" s="72"/>
      <c r="D83" s="72"/>
      <c r="E83" s="99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 ht="15.75" customHeight="1">
      <c r="A84" s="72"/>
      <c r="B84" s="72"/>
      <c r="C84" s="72"/>
      <c r="D84" s="72"/>
      <c r="E84" s="99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 ht="15.75" customHeight="1">
      <c r="A85" s="72"/>
      <c r="B85" s="72"/>
      <c r="C85" s="72"/>
      <c r="D85" s="72"/>
      <c r="E85" s="99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 ht="15.75" customHeight="1">
      <c r="A86" s="72"/>
      <c r="B86" s="72"/>
      <c r="C86" s="72"/>
      <c r="D86" s="72"/>
      <c r="E86" s="99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ht="15.75" customHeight="1">
      <c r="A87" s="72"/>
      <c r="B87" s="72"/>
      <c r="C87" s="72"/>
      <c r="D87" s="72"/>
      <c r="E87" s="99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 ht="15.75" customHeight="1">
      <c r="A88" s="72"/>
      <c r="B88" s="72"/>
      <c r="C88" s="72"/>
      <c r="D88" s="72"/>
      <c r="E88" s="99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 ht="15.75" customHeight="1">
      <c r="A89" s="72"/>
      <c r="B89" s="72"/>
      <c r="C89" s="72"/>
      <c r="D89" s="72"/>
      <c r="E89" s="99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 ht="15.75" customHeight="1">
      <c r="A90" s="72"/>
      <c r="B90" s="72"/>
      <c r="C90" s="72"/>
      <c r="D90" s="72"/>
      <c r="E90" s="99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 ht="15.75" customHeight="1">
      <c r="A91" s="72"/>
      <c r="B91" s="72"/>
      <c r="C91" s="72"/>
      <c r="D91" s="72"/>
      <c r="E91" s="99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 ht="15.75" customHeight="1">
      <c r="A92" s="72"/>
      <c r="B92" s="72"/>
      <c r="C92" s="72"/>
      <c r="D92" s="72"/>
      <c r="E92" s="99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 ht="15.75" customHeight="1">
      <c r="A93" s="72"/>
      <c r="B93" s="72"/>
      <c r="C93" s="72"/>
      <c r="D93" s="72"/>
      <c r="E93" s="99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 ht="15.75" customHeight="1">
      <c r="A94" s="72"/>
      <c r="B94" s="72"/>
      <c r="C94" s="72"/>
      <c r="D94" s="72"/>
      <c r="E94" s="99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 ht="15.75" customHeight="1">
      <c r="A95" s="72"/>
      <c r="B95" s="72"/>
      <c r="C95" s="72"/>
      <c r="D95" s="72"/>
      <c r="E95" s="99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 ht="15.75" customHeight="1">
      <c r="A96" s="72"/>
      <c r="B96" s="72"/>
      <c r="C96" s="72"/>
      <c r="D96" s="72"/>
      <c r="E96" s="99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 ht="15.75" customHeight="1">
      <c r="A97" s="72"/>
      <c r="B97" s="72"/>
      <c r="C97" s="72"/>
      <c r="D97" s="72"/>
      <c r="E97" s="99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 ht="15.75" customHeight="1">
      <c r="A98" s="72"/>
      <c r="B98" s="72"/>
      <c r="C98" s="72"/>
      <c r="D98" s="72"/>
      <c r="E98" s="99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 ht="15.75" customHeight="1">
      <c r="A99" s="72"/>
      <c r="B99" s="72"/>
      <c r="C99" s="72"/>
      <c r="D99" s="72"/>
      <c r="E99" s="99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 ht="15.75" customHeight="1">
      <c r="A100" s="72"/>
      <c r="B100" s="72"/>
      <c r="C100" s="72"/>
      <c r="D100" s="72"/>
      <c r="E100" s="99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 ht="15.75" customHeight="1">
      <c r="A101" s="72"/>
      <c r="B101" s="72"/>
      <c r="C101" s="72"/>
      <c r="D101" s="72"/>
      <c r="E101" s="99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 ht="15.75" customHeight="1">
      <c r="A102" s="72"/>
      <c r="B102" s="72"/>
      <c r="C102" s="72"/>
      <c r="D102" s="72"/>
      <c r="E102" s="99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 ht="15.75" customHeight="1">
      <c r="A103" s="72"/>
      <c r="B103" s="72"/>
      <c r="C103" s="72"/>
      <c r="D103" s="72"/>
      <c r="E103" s="99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 ht="15.75" customHeight="1">
      <c r="A104" s="72"/>
      <c r="B104" s="72"/>
      <c r="C104" s="72"/>
      <c r="D104" s="72"/>
      <c r="E104" s="99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 ht="15.75" customHeight="1">
      <c r="A105" s="72"/>
      <c r="B105" s="72"/>
      <c r="C105" s="72"/>
      <c r="D105" s="72"/>
      <c r="E105" s="99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 ht="15.75" customHeight="1">
      <c r="A106" s="72"/>
      <c r="B106" s="72"/>
      <c r="C106" s="72"/>
      <c r="D106" s="72"/>
      <c r="E106" s="99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 ht="15.75" customHeight="1">
      <c r="A107" s="72"/>
      <c r="B107" s="72"/>
      <c r="C107" s="72"/>
      <c r="D107" s="72"/>
      <c r="E107" s="99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 ht="15.75" customHeight="1">
      <c r="A108" s="72"/>
      <c r="B108" s="72"/>
      <c r="C108" s="72"/>
      <c r="D108" s="72"/>
      <c r="E108" s="99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 ht="15.75" customHeight="1">
      <c r="A109" s="72"/>
      <c r="B109" s="72"/>
      <c r="C109" s="72"/>
      <c r="D109" s="72"/>
      <c r="E109" s="99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 ht="15.75" customHeight="1">
      <c r="A110" s="72"/>
      <c r="B110" s="72"/>
      <c r="C110" s="72"/>
      <c r="D110" s="72"/>
      <c r="E110" s="99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 ht="15.75" customHeight="1">
      <c r="A111" s="72"/>
      <c r="B111" s="72"/>
      <c r="C111" s="72"/>
      <c r="D111" s="72"/>
      <c r="E111" s="99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 ht="15.75" customHeight="1">
      <c r="A112" s="72"/>
      <c r="B112" s="72"/>
      <c r="C112" s="72"/>
      <c r="D112" s="72"/>
      <c r="E112" s="99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 ht="15.75" customHeight="1">
      <c r="A113" s="72"/>
      <c r="B113" s="72"/>
      <c r="C113" s="72"/>
      <c r="D113" s="72"/>
      <c r="E113" s="99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 ht="15.75" customHeight="1">
      <c r="A114" s="72"/>
      <c r="B114" s="72"/>
      <c r="C114" s="72"/>
      <c r="D114" s="72"/>
      <c r="E114" s="99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 ht="15.75" customHeight="1">
      <c r="A115" s="72"/>
      <c r="B115" s="72"/>
      <c r="C115" s="72"/>
      <c r="D115" s="72"/>
      <c r="E115" s="99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 ht="15.75" customHeight="1">
      <c r="A116" s="72"/>
      <c r="B116" s="72"/>
      <c r="C116" s="72"/>
      <c r="D116" s="72"/>
      <c r="E116" s="99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 ht="15.75" customHeight="1">
      <c r="A117" s="72"/>
      <c r="B117" s="72"/>
      <c r="C117" s="72"/>
      <c r="D117" s="72"/>
      <c r="E117" s="99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 ht="15.75" customHeight="1">
      <c r="A118" s="72"/>
      <c r="B118" s="72"/>
      <c r="C118" s="72"/>
      <c r="D118" s="72"/>
      <c r="E118" s="99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 ht="15.75" customHeight="1">
      <c r="A119" s="72"/>
      <c r="B119" s="72"/>
      <c r="C119" s="72"/>
      <c r="D119" s="72"/>
      <c r="E119" s="99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 ht="15.75" customHeight="1">
      <c r="A120" s="72"/>
      <c r="B120" s="72"/>
      <c r="C120" s="72"/>
      <c r="D120" s="72"/>
      <c r="E120" s="99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 ht="15.75" customHeight="1">
      <c r="A121" s="72"/>
      <c r="B121" s="72"/>
      <c r="C121" s="72"/>
      <c r="D121" s="72"/>
      <c r="E121" s="99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 ht="15.75" customHeight="1">
      <c r="A122" s="72"/>
      <c r="B122" s="72"/>
      <c r="C122" s="72"/>
      <c r="D122" s="72"/>
      <c r="E122" s="99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 ht="15.75" customHeight="1">
      <c r="A123" s="72"/>
      <c r="B123" s="72"/>
      <c r="C123" s="72"/>
      <c r="D123" s="72"/>
      <c r="E123" s="99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 ht="15.75" customHeight="1">
      <c r="A124" s="72"/>
      <c r="B124" s="72"/>
      <c r="C124" s="72"/>
      <c r="D124" s="72"/>
      <c r="E124" s="99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 ht="15.75" customHeight="1">
      <c r="A125" s="72"/>
      <c r="B125" s="72"/>
      <c r="C125" s="72"/>
      <c r="D125" s="72"/>
      <c r="E125" s="99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 ht="15.75" customHeight="1">
      <c r="A126" s="72"/>
      <c r="B126" s="72"/>
      <c r="C126" s="72"/>
      <c r="D126" s="72"/>
      <c r="E126" s="99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 ht="15.75" customHeight="1">
      <c r="A127" s="72"/>
      <c r="B127" s="72"/>
      <c r="C127" s="72"/>
      <c r="D127" s="72"/>
      <c r="E127" s="99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 ht="15.75" customHeight="1">
      <c r="A128" s="72"/>
      <c r="B128" s="72"/>
      <c r="C128" s="72"/>
      <c r="D128" s="72"/>
      <c r="E128" s="99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 ht="15.75" customHeight="1">
      <c r="A129" s="72"/>
      <c r="B129" s="72"/>
      <c r="C129" s="72"/>
      <c r="D129" s="72"/>
      <c r="E129" s="99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 ht="15.75" customHeight="1">
      <c r="A130" s="72"/>
      <c r="B130" s="72"/>
      <c r="C130" s="72"/>
      <c r="D130" s="72"/>
      <c r="E130" s="99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 ht="15.75" customHeight="1">
      <c r="A131" s="72"/>
      <c r="B131" s="72"/>
      <c r="C131" s="72"/>
      <c r="D131" s="72"/>
      <c r="E131" s="99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 ht="15.75" customHeight="1">
      <c r="A132" s="72"/>
      <c r="B132" s="72"/>
      <c r="C132" s="72"/>
      <c r="D132" s="72"/>
      <c r="E132" s="99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 ht="15.75" customHeight="1">
      <c r="A133" s="72"/>
      <c r="B133" s="72"/>
      <c r="C133" s="72"/>
      <c r="D133" s="72"/>
      <c r="E133" s="99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 ht="15.75" customHeight="1">
      <c r="A134" s="72"/>
      <c r="B134" s="72"/>
      <c r="C134" s="72"/>
      <c r="D134" s="72"/>
      <c r="E134" s="99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 ht="15.75" customHeight="1">
      <c r="A135" s="72"/>
      <c r="B135" s="72"/>
      <c r="C135" s="72"/>
      <c r="D135" s="72"/>
      <c r="E135" s="99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 ht="15.75" customHeight="1">
      <c r="A136" s="72"/>
      <c r="B136" s="72"/>
      <c r="C136" s="72"/>
      <c r="D136" s="72"/>
      <c r="E136" s="99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 ht="15.75" customHeight="1">
      <c r="A137" s="72"/>
      <c r="B137" s="72"/>
      <c r="C137" s="72"/>
      <c r="D137" s="72"/>
      <c r="E137" s="99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 ht="15.75" customHeight="1">
      <c r="A138" s="72"/>
      <c r="B138" s="72"/>
      <c r="C138" s="72"/>
      <c r="D138" s="72"/>
      <c r="E138" s="99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 ht="15.75" customHeight="1">
      <c r="A139" s="72"/>
      <c r="B139" s="72"/>
      <c r="C139" s="72"/>
      <c r="D139" s="72"/>
      <c r="E139" s="99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 ht="15.75" customHeight="1">
      <c r="A140" s="72"/>
      <c r="B140" s="72"/>
      <c r="C140" s="72"/>
      <c r="D140" s="72"/>
      <c r="E140" s="99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 ht="15.75" customHeight="1">
      <c r="A141" s="72"/>
      <c r="B141" s="72"/>
      <c r="C141" s="72"/>
      <c r="D141" s="72"/>
      <c r="E141" s="99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 ht="15.75" customHeight="1">
      <c r="A142" s="72"/>
      <c r="B142" s="72"/>
      <c r="C142" s="72"/>
      <c r="D142" s="72"/>
      <c r="E142" s="99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 ht="15.75" customHeight="1">
      <c r="A143" s="72"/>
      <c r="B143" s="72"/>
      <c r="C143" s="72"/>
      <c r="D143" s="72"/>
      <c r="E143" s="99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 ht="15.75" customHeight="1">
      <c r="A144" s="72"/>
      <c r="B144" s="72"/>
      <c r="C144" s="72"/>
      <c r="D144" s="72"/>
      <c r="E144" s="99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 ht="15.75" customHeight="1">
      <c r="A145" s="72"/>
      <c r="B145" s="72"/>
      <c r="C145" s="72"/>
      <c r="D145" s="72"/>
      <c r="E145" s="99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 ht="15.75" customHeight="1">
      <c r="A146" s="72"/>
      <c r="B146" s="72"/>
      <c r="C146" s="72"/>
      <c r="D146" s="72"/>
      <c r="E146" s="99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 ht="15.75" customHeight="1">
      <c r="A147" s="72"/>
      <c r="B147" s="72"/>
      <c r="C147" s="72"/>
      <c r="D147" s="72"/>
      <c r="E147" s="99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 ht="15.75" customHeight="1">
      <c r="A148" s="72"/>
      <c r="B148" s="72"/>
      <c r="C148" s="72"/>
      <c r="D148" s="72"/>
      <c r="E148" s="99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 ht="15.75" customHeight="1">
      <c r="A149" s="72"/>
      <c r="B149" s="72"/>
      <c r="C149" s="72"/>
      <c r="D149" s="72"/>
      <c r="E149" s="99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 ht="15.75" customHeight="1">
      <c r="A150" s="72"/>
      <c r="B150" s="72"/>
      <c r="C150" s="72"/>
      <c r="D150" s="72"/>
      <c r="E150" s="99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 ht="15.75" customHeight="1">
      <c r="A151" s="72"/>
      <c r="B151" s="72"/>
      <c r="C151" s="72"/>
      <c r="D151" s="72"/>
      <c r="E151" s="99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 ht="15.75" customHeight="1">
      <c r="A152" s="72"/>
      <c r="B152" s="72"/>
      <c r="C152" s="72"/>
      <c r="D152" s="72"/>
      <c r="E152" s="99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 ht="15.75" customHeight="1">
      <c r="A153" s="72"/>
      <c r="B153" s="72"/>
      <c r="C153" s="72"/>
      <c r="D153" s="72"/>
      <c r="E153" s="99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 ht="15.75" customHeight="1">
      <c r="A154" s="72"/>
      <c r="B154" s="72"/>
      <c r="C154" s="72"/>
      <c r="D154" s="72"/>
      <c r="E154" s="99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 ht="15.75" customHeight="1">
      <c r="A155" s="72"/>
      <c r="B155" s="72"/>
      <c r="C155" s="72"/>
      <c r="D155" s="72"/>
      <c r="E155" s="99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 ht="15.75" customHeight="1">
      <c r="A156" s="72"/>
      <c r="B156" s="72"/>
      <c r="C156" s="72"/>
      <c r="D156" s="72"/>
      <c r="E156" s="99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 ht="15.75" customHeight="1">
      <c r="A157" s="72"/>
      <c r="B157" s="72"/>
      <c r="C157" s="72"/>
      <c r="D157" s="72"/>
      <c r="E157" s="99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 ht="15.75" customHeight="1">
      <c r="A158" s="72"/>
      <c r="B158" s="72"/>
      <c r="C158" s="72"/>
      <c r="D158" s="72"/>
      <c r="E158" s="99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 ht="15.75" customHeight="1">
      <c r="A159" s="72"/>
      <c r="B159" s="72"/>
      <c r="C159" s="72"/>
      <c r="D159" s="72"/>
      <c r="E159" s="99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 ht="15.75" customHeight="1">
      <c r="A160" s="72"/>
      <c r="B160" s="72"/>
      <c r="C160" s="72"/>
      <c r="D160" s="72"/>
      <c r="E160" s="99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 ht="15.75" customHeight="1">
      <c r="A161" s="72"/>
      <c r="B161" s="72"/>
      <c r="C161" s="72"/>
      <c r="D161" s="72"/>
      <c r="E161" s="99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 ht="15.75" customHeight="1">
      <c r="A162" s="72"/>
      <c r="B162" s="72"/>
      <c r="C162" s="72"/>
      <c r="D162" s="72"/>
      <c r="E162" s="99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 ht="15.75" customHeight="1">
      <c r="A163" s="72"/>
      <c r="B163" s="72"/>
      <c r="C163" s="72"/>
      <c r="D163" s="72"/>
      <c r="E163" s="99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 ht="15.75" customHeight="1">
      <c r="A164" s="72"/>
      <c r="B164" s="72"/>
      <c r="C164" s="72"/>
      <c r="D164" s="72"/>
      <c r="E164" s="99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 ht="15.75" customHeight="1">
      <c r="A165" s="72"/>
      <c r="B165" s="72"/>
      <c r="C165" s="72"/>
      <c r="D165" s="72"/>
      <c r="E165" s="99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 ht="15.75" customHeight="1">
      <c r="A166" s="72"/>
      <c r="B166" s="72"/>
      <c r="C166" s="72"/>
      <c r="D166" s="72"/>
      <c r="E166" s="99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 ht="15.75" customHeight="1">
      <c r="A167" s="72"/>
      <c r="B167" s="72"/>
      <c r="C167" s="72"/>
      <c r="D167" s="72"/>
      <c r="E167" s="99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 ht="15.75" customHeight="1">
      <c r="A168" s="72"/>
      <c r="B168" s="72"/>
      <c r="C168" s="72"/>
      <c r="D168" s="72"/>
      <c r="E168" s="99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 ht="15.75" customHeight="1">
      <c r="A169" s="72"/>
      <c r="B169" s="72"/>
      <c r="C169" s="72"/>
      <c r="D169" s="72"/>
      <c r="E169" s="99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 ht="15.75" customHeight="1">
      <c r="A170" s="72"/>
      <c r="B170" s="72"/>
      <c r="C170" s="72"/>
      <c r="D170" s="72"/>
      <c r="E170" s="99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 ht="15.75" customHeight="1">
      <c r="A171" s="72"/>
      <c r="B171" s="72"/>
      <c r="C171" s="72"/>
      <c r="D171" s="72"/>
      <c r="E171" s="99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 ht="15.75" customHeight="1">
      <c r="A172" s="72"/>
      <c r="B172" s="72"/>
      <c r="C172" s="72"/>
      <c r="D172" s="72"/>
      <c r="E172" s="99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 ht="15.75" customHeight="1">
      <c r="A173" s="72"/>
      <c r="B173" s="72"/>
      <c r="C173" s="72"/>
      <c r="D173" s="72"/>
      <c r="E173" s="99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 ht="15.75" customHeight="1">
      <c r="A174" s="72"/>
      <c r="B174" s="72"/>
      <c r="C174" s="72"/>
      <c r="D174" s="72"/>
      <c r="E174" s="99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 ht="15.75" customHeight="1">
      <c r="A175" s="72"/>
      <c r="B175" s="72"/>
      <c r="C175" s="72"/>
      <c r="D175" s="72"/>
      <c r="E175" s="99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 ht="15.75" customHeight="1">
      <c r="A176" s="72"/>
      <c r="B176" s="72"/>
      <c r="C176" s="72"/>
      <c r="D176" s="72"/>
      <c r="E176" s="99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 ht="15.75" customHeight="1">
      <c r="A177" s="72"/>
      <c r="B177" s="72"/>
      <c r="C177" s="72"/>
      <c r="D177" s="72"/>
      <c r="E177" s="99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 ht="15.75" customHeight="1">
      <c r="A178" s="72"/>
      <c r="B178" s="72"/>
      <c r="C178" s="72"/>
      <c r="D178" s="72"/>
      <c r="E178" s="99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 ht="15.75" customHeight="1">
      <c r="A179" s="72"/>
      <c r="B179" s="72"/>
      <c r="C179" s="72"/>
      <c r="D179" s="72"/>
      <c r="E179" s="99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 ht="15.75" customHeight="1">
      <c r="A180" s="72"/>
      <c r="B180" s="72"/>
      <c r="C180" s="72"/>
      <c r="D180" s="72"/>
      <c r="E180" s="99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 ht="15.75" customHeight="1">
      <c r="A181" s="72"/>
      <c r="B181" s="72"/>
      <c r="C181" s="72"/>
      <c r="D181" s="72"/>
      <c r="E181" s="99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 ht="15.75" customHeight="1">
      <c r="A182" s="72"/>
      <c r="B182" s="72"/>
      <c r="C182" s="72"/>
      <c r="D182" s="72"/>
      <c r="E182" s="99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 ht="15.75" customHeight="1">
      <c r="A183" s="72"/>
      <c r="B183" s="72"/>
      <c r="C183" s="72"/>
      <c r="D183" s="72"/>
      <c r="E183" s="99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 ht="15.75" customHeight="1">
      <c r="A184" s="72"/>
      <c r="B184" s="72"/>
      <c r="C184" s="72"/>
      <c r="D184" s="72"/>
      <c r="E184" s="99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 ht="15.75" customHeight="1">
      <c r="A185" s="72"/>
      <c r="B185" s="72"/>
      <c r="C185" s="72"/>
      <c r="D185" s="72"/>
      <c r="E185" s="99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 ht="15.75" customHeight="1">
      <c r="A186" s="72"/>
      <c r="B186" s="72"/>
      <c r="C186" s="72"/>
      <c r="D186" s="72"/>
      <c r="E186" s="99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 ht="15.75" customHeight="1">
      <c r="A187" s="72"/>
      <c r="B187" s="72"/>
      <c r="C187" s="72"/>
      <c r="D187" s="72"/>
      <c r="E187" s="99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 ht="15.75" customHeight="1">
      <c r="A188" s="72"/>
      <c r="B188" s="72"/>
      <c r="C188" s="72"/>
      <c r="D188" s="72"/>
      <c r="E188" s="99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 ht="15.75" customHeight="1">
      <c r="A189" s="72"/>
      <c r="B189" s="72"/>
      <c r="C189" s="72"/>
      <c r="D189" s="72"/>
      <c r="E189" s="99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 ht="15.75" customHeight="1">
      <c r="A190" s="72"/>
      <c r="B190" s="72"/>
      <c r="C190" s="72"/>
      <c r="D190" s="72"/>
      <c r="E190" s="99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 ht="15.75" customHeight="1">
      <c r="A191" s="72"/>
      <c r="B191" s="72"/>
      <c r="C191" s="72"/>
      <c r="D191" s="72"/>
      <c r="E191" s="99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 ht="15.75" customHeight="1">
      <c r="A192" s="72"/>
      <c r="B192" s="72"/>
      <c r="C192" s="72"/>
      <c r="D192" s="72"/>
      <c r="E192" s="99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 ht="15.75" customHeight="1">
      <c r="A193" s="72"/>
      <c r="B193" s="72"/>
      <c r="C193" s="72"/>
      <c r="D193" s="72"/>
      <c r="E193" s="99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 ht="15.75" customHeight="1">
      <c r="A194" s="72"/>
      <c r="B194" s="72"/>
      <c r="C194" s="72"/>
      <c r="D194" s="72"/>
      <c r="E194" s="99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 ht="15.75" customHeight="1">
      <c r="A195" s="72"/>
      <c r="B195" s="72"/>
      <c r="C195" s="72"/>
      <c r="D195" s="72"/>
      <c r="E195" s="99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 ht="15.75" customHeight="1">
      <c r="A196" s="72"/>
      <c r="B196" s="72"/>
      <c r="C196" s="72"/>
      <c r="D196" s="72"/>
      <c r="E196" s="99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 ht="15.75" customHeight="1">
      <c r="A197" s="72"/>
      <c r="B197" s="72"/>
      <c r="C197" s="72"/>
      <c r="D197" s="72"/>
      <c r="E197" s="99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 ht="15.75" customHeight="1">
      <c r="A198" s="72"/>
      <c r="B198" s="72"/>
      <c r="C198" s="72"/>
      <c r="D198" s="72"/>
      <c r="E198" s="99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 ht="15.75" customHeight="1">
      <c r="A199" s="72"/>
      <c r="B199" s="72"/>
      <c r="C199" s="72"/>
      <c r="D199" s="72"/>
      <c r="E199" s="99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 ht="15.75" customHeight="1">
      <c r="A200" s="72"/>
      <c r="B200" s="72"/>
      <c r="C200" s="72"/>
      <c r="D200" s="72"/>
      <c r="E200" s="99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 ht="15.75" customHeight="1">
      <c r="A201" s="72"/>
      <c r="B201" s="72"/>
      <c r="C201" s="72"/>
      <c r="D201" s="72"/>
      <c r="E201" s="99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 ht="15.75" customHeight="1">
      <c r="A202" s="72"/>
      <c r="B202" s="72"/>
      <c r="C202" s="72"/>
      <c r="D202" s="72"/>
      <c r="E202" s="99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 ht="15.75" customHeight="1">
      <c r="A203" s="72"/>
      <c r="B203" s="72"/>
      <c r="C203" s="72"/>
      <c r="D203" s="72"/>
      <c r="E203" s="99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 ht="15.75" customHeight="1">
      <c r="A204" s="72"/>
      <c r="B204" s="72"/>
      <c r="C204" s="72"/>
      <c r="D204" s="72"/>
      <c r="E204" s="99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 ht="15.75" customHeight="1">
      <c r="A205" s="72"/>
      <c r="B205" s="72"/>
      <c r="C205" s="72"/>
      <c r="D205" s="72"/>
      <c r="E205" s="99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 ht="15.75" customHeight="1">
      <c r="A206" s="72"/>
      <c r="B206" s="72"/>
      <c r="C206" s="72"/>
      <c r="D206" s="72"/>
      <c r="E206" s="99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 ht="15.75" customHeight="1">
      <c r="A207" s="72"/>
      <c r="B207" s="72"/>
      <c r="C207" s="72"/>
      <c r="D207" s="72"/>
      <c r="E207" s="99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 ht="15.75" customHeight="1">
      <c r="A208" s="72"/>
      <c r="B208" s="72"/>
      <c r="C208" s="72"/>
      <c r="D208" s="72"/>
      <c r="E208" s="99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 ht="15.75" customHeight="1">
      <c r="A209" s="72"/>
      <c r="B209" s="72"/>
      <c r="C209" s="72"/>
      <c r="D209" s="72"/>
      <c r="E209" s="99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 ht="15.75" customHeight="1">
      <c r="A210" s="72"/>
      <c r="B210" s="72"/>
      <c r="C210" s="72"/>
      <c r="D210" s="72"/>
      <c r="E210" s="99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 ht="15.75" customHeight="1">
      <c r="A211" s="72"/>
      <c r="B211" s="72"/>
      <c r="C211" s="72"/>
      <c r="D211" s="72"/>
      <c r="E211" s="99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 ht="15.75" customHeight="1">
      <c r="A212" s="72"/>
      <c r="B212" s="72"/>
      <c r="C212" s="72"/>
      <c r="D212" s="72"/>
      <c r="E212" s="99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 ht="15.75" customHeight="1">
      <c r="A213" s="72"/>
      <c r="B213" s="72"/>
      <c r="C213" s="72"/>
      <c r="D213" s="72"/>
      <c r="E213" s="99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 ht="15.75" customHeight="1">
      <c r="A214" s="72"/>
      <c r="B214" s="72"/>
      <c r="C214" s="72"/>
      <c r="D214" s="72"/>
      <c r="E214" s="99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 ht="15.75" customHeight="1">
      <c r="A215" s="72"/>
      <c r="B215" s="72"/>
      <c r="C215" s="72"/>
      <c r="D215" s="72"/>
      <c r="E215" s="99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 ht="15.75" customHeight="1">
      <c r="A216" s="72"/>
      <c r="B216" s="72"/>
      <c r="C216" s="72"/>
      <c r="D216" s="72"/>
      <c r="E216" s="99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 ht="15.75" customHeight="1">
      <c r="A217" s="72"/>
      <c r="B217" s="72"/>
      <c r="C217" s="72"/>
      <c r="D217" s="72"/>
      <c r="E217" s="99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 ht="15.75" customHeight="1">
      <c r="A218" s="72"/>
      <c r="B218" s="72"/>
      <c r="C218" s="72"/>
      <c r="D218" s="72"/>
      <c r="E218" s="99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 ht="15.75" customHeight="1">
      <c r="A219" s="72"/>
      <c r="B219" s="72"/>
      <c r="C219" s="72"/>
      <c r="D219" s="72"/>
      <c r="E219" s="99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 ht="15.75" customHeight="1">
      <c r="A220" s="72"/>
      <c r="B220" s="72"/>
      <c r="C220" s="72"/>
      <c r="D220" s="72"/>
      <c r="E220" s="99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 ht="15.75" customHeight="1">
      <c r="A221" s="72"/>
      <c r="B221" s="72"/>
      <c r="C221" s="72"/>
      <c r="D221" s="72"/>
      <c r="E221" s="99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 ht="15.75" customHeight="1">
      <c r="A222" s="72"/>
      <c r="B222" s="72"/>
      <c r="C222" s="72"/>
      <c r="D222" s="72"/>
      <c r="E222" s="99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 ht="15.75" customHeight="1">
      <c r="A223" s="72"/>
      <c r="B223" s="72"/>
      <c r="C223" s="72"/>
      <c r="D223" s="72"/>
      <c r="E223" s="99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 ht="15.75" customHeight="1">
      <c r="A224" s="72"/>
      <c r="B224" s="72"/>
      <c r="C224" s="72"/>
      <c r="D224" s="72"/>
      <c r="E224" s="99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 ht="15.75" customHeight="1">
      <c r="A225" s="72"/>
      <c r="B225" s="72"/>
      <c r="C225" s="72"/>
      <c r="D225" s="72"/>
      <c r="E225" s="99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 ht="15.75" customHeight="1">
      <c r="A226" s="72"/>
      <c r="B226" s="72"/>
      <c r="C226" s="72"/>
      <c r="D226" s="72"/>
      <c r="E226" s="99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 ht="15.75" customHeight="1">
      <c r="A227" s="72"/>
      <c r="B227" s="72"/>
      <c r="C227" s="72"/>
      <c r="D227" s="72"/>
      <c r="E227" s="99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 ht="15.75" customHeight="1">
      <c r="A228" s="72"/>
      <c r="B228" s="72"/>
      <c r="C228" s="72"/>
      <c r="D228" s="72"/>
      <c r="E228" s="99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 ht="15.75" customHeight="1">
      <c r="A229" s="72"/>
      <c r="B229" s="72"/>
      <c r="C229" s="72"/>
      <c r="D229" s="72"/>
      <c r="E229" s="99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 ht="15.75" customHeight="1">
      <c r="A230" s="72"/>
      <c r="B230" s="72"/>
      <c r="C230" s="72"/>
      <c r="D230" s="72"/>
      <c r="E230" s="99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 ht="15.75" customHeight="1">
      <c r="A231" s="72"/>
      <c r="B231" s="72"/>
      <c r="C231" s="72"/>
      <c r="D231" s="72"/>
      <c r="E231" s="99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 ht="15.75" customHeight="1">
      <c r="A232" s="72"/>
      <c r="B232" s="72"/>
      <c r="C232" s="72"/>
      <c r="D232" s="72"/>
      <c r="E232" s="99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 ht="15.75" customHeight="1">
      <c r="A233" s="72"/>
      <c r="B233" s="72"/>
      <c r="C233" s="72"/>
      <c r="D233" s="72"/>
      <c r="E233" s="99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 ht="15.75" customHeight="1">
      <c r="A234" s="72"/>
      <c r="B234" s="72"/>
      <c r="C234" s="72"/>
      <c r="D234" s="72"/>
      <c r="E234" s="99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 ht="15.75" customHeight="1">
      <c r="A235" s="72"/>
      <c r="B235" s="72"/>
      <c r="C235" s="72"/>
      <c r="D235" s="72"/>
      <c r="E235" s="99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 ht="15.75" customHeight="1">
      <c r="A236" s="72"/>
      <c r="B236" s="72"/>
      <c r="C236" s="72"/>
      <c r="D236" s="72"/>
      <c r="E236" s="99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 ht="15.75" customHeight="1">
      <c r="A237" s="72"/>
      <c r="B237" s="72"/>
      <c r="C237" s="72"/>
      <c r="D237" s="72"/>
      <c r="E237" s="99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 ht="15.75" customHeight="1">
      <c r="A238" s="72"/>
      <c r="B238" s="72"/>
      <c r="C238" s="72"/>
      <c r="D238" s="72"/>
      <c r="E238" s="99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 ht="15.75" customHeight="1">
      <c r="A239" s="72"/>
      <c r="B239" s="72"/>
      <c r="C239" s="72"/>
      <c r="D239" s="72"/>
      <c r="E239" s="99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 ht="15.75" customHeight="1">
      <c r="A240" s="72"/>
      <c r="B240" s="72"/>
      <c r="C240" s="72"/>
      <c r="D240" s="72"/>
      <c r="E240" s="99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 ht="15.75" customHeight="1">
      <c r="A241" s="72"/>
      <c r="B241" s="72"/>
      <c r="C241" s="72"/>
      <c r="D241" s="72"/>
      <c r="E241" s="99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 ht="15.75" customHeight="1">
      <c r="A242" s="72"/>
      <c r="B242" s="72"/>
      <c r="C242" s="72"/>
      <c r="D242" s="72"/>
      <c r="E242" s="99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 ht="15.75" customHeight="1">
      <c r="A243" s="72"/>
      <c r="B243" s="72"/>
      <c r="C243" s="72"/>
      <c r="D243" s="72"/>
      <c r="E243" s="99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 ht="15.75" customHeight="1">
      <c r="A244" s="72"/>
      <c r="B244" s="72"/>
      <c r="C244" s="72"/>
      <c r="D244" s="72"/>
      <c r="E244" s="99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 ht="15.75" customHeight="1">
      <c r="A245" s="72"/>
      <c r="B245" s="72"/>
      <c r="C245" s="72"/>
      <c r="D245" s="72"/>
      <c r="E245" s="99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  <row r="1001" ht="15.75" customHeight="1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</row>
    <row r="1002" ht="15.75" customHeight="1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</row>
    <row r="1003" ht="15.75" customHeight="1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</row>
  </sheetData>
  <mergeCells count="14">
    <mergeCell ref="A2:A27"/>
    <mergeCell ref="A28:A41"/>
    <mergeCell ref="C2:C27"/>
    <mergeCell ref="C28:C41"/>
    <mergeCell ref="B31:B37"/>
    <mergeCell ref="B38:B40"/>
    <mergeCell ref="A45:D45"/>
    <mergeCell ref="A1:B1"/>
    <mergeCell ref="B2:B4"/>
    <mergeCell ref="B6:B12"/>
    <mergeCell ref="B13:B15"/>
    <mergeCell ref="B16:B22"/>
    <mergeCell ref="B23:B25"/>
    <mergeCell ref="B28:B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2024-07-16T14:19:48Z</dcterms:created>
  <dc:creator>User</dc:creator>
</cp:coreProperties>
</file>